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2035" windowHeight="8520"/>
  </bookViews>
  <sheets>
    <sheet name="Лист1" sheetId="1" r:id="rId1"/>
    <sheet name="Лист2" sheetId="2" r:id="rId2"/>
  </sheets>
  <definedNames>
    <definedName name="_xlnm._FilterDatabase" localSheetId="0" hidden="1">Лист1!$A$1:$P$58</definedName>
    <definedName name="_xlnm._FilterDatabase" localSheetId="1" hidden="1">Лист2!$A$1:$H$1</definedName>
  </definedNames>
  <calcPr calcId="145621"/>
</workbook>
</file>

<file path=xl/calcChain.xml><?xml version="1.0" encoding="utf-8"?>
<calcChain xmlns="http://schemas.openxmlformats.org/spreadsheetml/2006/main">
  <c r="J57" i="1" l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</calcChain>
</file>

<file path=xl/comments1.xml><?xml version="1.0" encoding="utf-8"?>
<comments xmlns="http://schemas.openxmlformats.org/spreadsheetml/2006/main">
  <authors>
    <author>Поляева Елена Николаевна</author>
  </authors>
  <commentList>
    <comment ref="E50" authorId="0">
      <text>
        <r>
          <rPr>
            <b/>
            <sz val="9"/>
            <color indexed="81"/>
            <rFont val="Tahoma"/>
            <charset val="1"/>
          </rPr>
          <t>Поляева Елена Николаевна:</t>
        </r>
        <r>
          <rPr>
            <sz val="9"/>
            <color indexed="81"/>
            <rFont val="Tahoma"/>
            <charset val="1"/>
          </rPr>
          <t xml:space="preserve">
Чертеж штока
</t>
        </r>
      </text>
    </comment>
  </commentList>
</comments>
</file>

<file path=xl/sharedStrings.xml><?xml version="1.0" encoding="utf-8"?>
<sst xmlns="http://schemas.openxmlformats.org/spreadsheetml/2006/main" count="374" uniqueCount="158">
  <si>
    <t>ID</t>
  </si>
  <si>
    <t>Стопорный</t>
  </si>
  <si>
    <t>СТ-249463</t>
  </si>
  <si>
    <t>СТ-249461</t>
  </si>
  <si>
    <t>Диаметр_штока_мм</t>
  </si>
  <si>
    <t>Точность_изготовления_штока_мм</t>
  </si>
  <si>
    <t>Точность_изготовления_буксы_мм</t>
  </si>
  <si>
    <t>УТЗ-304414</t>
  </si>
  <si>
    <t>БТ-236455</t>
  </si>
  <si>
    <t>БТ-232049</t>
  </si>
  <si>
    <t>БТ-232049-1</t>
  </si>
  <si>
    <t>СТ-138843</t>
  </si>
  <si>
    <t>СТ-138842</t>
  </si>
  <si>
    <t>БТ-274875</t>
  </si>
  <si>
    <t>СТ-274876</t>
  </si>
  <si>
    <t>БТ-211918</t>
  </si>
  <si>
    <t>СТ-207007</t>
  </si>
  <si>
    <t>СТ-207008</t>
  </si>
  <si>
    <t>БТ-267171</t>
  </si>
  <si>
    <t>СТ-267274</t>
  </si>
  <si>
    <t>СТ-267285</t>
  </si>
  <si>
    <t>БТ-281699</t>
  </si>
  <si>
    <t>СТ-267274-1</t>
  </si>
  <si>
    <t>СТ-267285-1</t>
  </si>
  <si>
    <t>БТ-252380</t>
  </si>
  <si>
    <t>БТ-273753</t>
  </si>
  <si>
    <t>СТ-276535, СТ-276538</t>
  </si>
  <si>
    <t>СТ-276533</t>
  </si>
  <si>
    <t>БТ-267171-1</t>
  </si>
  <si>
    <t>БТ-225400</t>
  </si>
  <si>
    <t>СТ-225402</t>
  </si>
  <si>
    <t>СТ-225401-2</t>
  </si>
  <si>
    <t>Регулирующий</t>
  </si>
  <si>
    <t>БТ-225400-01</t>
  </si>
  <si>
    <t>БТ-246490-01</t>
  </si>
  <si>
    <t>СТ-246487</t>
  </si>
  <si>
    <t>СТ-246488</t>
  </si>
  <si>
    <t>БТ-246490-02</t>
  </si>
  <si>
    <t>БТ-250791</t>
  </si>
  <si>
    <t>СТ-159829</t>
  </si>
  <si>
    <t>СТ-245014</t>
  </si>
  <si>
    <t>БТ-274925</t>
  </si>
  <si>
    <t>СТ-274933</t>
  </si>
  <si>
    <t>СТ-274934</t>
  </si>
  <si>
    <t>БТ-168560-1</t>
  </si>
  <si>
    <t>СТ-159829-1</t>
  </si>
  <si>
    <t>БТ-281695</t>
  </si>
  <si>
    <t>СТ-282331</t>
  </si>
  <si>
    <t>СТ-282332</t>
  </si>
  <si>
    <t>БТ-281220</t>
  </si>
  <si>
    <t>СТ-281684</t>
  </si>
  <si>
    <t>СТ-245014-1</t>
  </si>
  <si>
    <t>БТ-250792</t>
  </si>
  <si>
    <t>СТ-160561</t>
  </si>
  <si>
    <t>СТ-245018-01</t>
  </si>
  <si>
    <t>БТ-275666</t>
  </si>
  <si>
    <t>БТ-274485</t>
  </si>
  <si>
    <t>СТ-274486</t>
  </si>
  <si>
    <t>Длина_участка_1_мм</t>
  </si>
  <si>
    <t>Длина_участка_2_мм</t>
  </si>
  <si>
    <t>Длина_участка_3_мм</t>
  </si>
  <si>
    <t>Длина_участка_4_мм</t>
  </si>
  <si>
    <t>Радиус_скругления_(размер_фаски)_мм</t>
  </si>
  <si>
    <t>Тип_клапана</t>
  </si>
  <si>
    <t>Чертеж_клапана</t>
  </si>
  <si>
    <t>Количество_участков</t>
  </si>
  <si>
    <t>Чертеж_буксы</t>
  </si>
  <si>
    <t>Чертеж_штока</t>
  </si>
  <si>
    <t>БТ-287950</t>
  </si>
  <si>
    <t>ПТ-150</t>
  </si>
  <si>
    <t>БТ-288245</t>
  </si>
  <si>
    <t>СТ-288242</t>
  </si>
  <si>
    <t>СТ-288252</t>
  </si>
  <si>
    <t>УТЗ-300805</t>
  </si>
  <si>
    <t>УТЗ-300808</t>
  </si>
  <si>
    <t>УТЗ-300807</t>
  </si>
  <si>
    <t>ПТ-135, Т-185</t>
  </si>
  <si>
    <t>БТ-225402</t>
  </si>
  <si>
    <t>Т-250</t>
  </si>
  <si>
    <t>БТ-195900-3</t>
  </si>
  <si>
    <t>БТ-195891-2</t>
  </si>
  <si>
    <t>СТ-195915-5</t>
  </si>
  <si>
    <t>БТ-195910-3</t>
  </si>
  <si>
    <t>БТ-195914-2</t>
  </si>
  <si>
    <t>БТ-228380</t>
  </si>
  <si>
    <t>СТ-196862, СТ-196865</t>
  </si>
  <si>
    <t>СТ-196859</t>
  </si>
  <si>
    <t>Т-259</t>
  </si>
  <si>
    <t>УТЗ-302063</t>
  </si>
  <si>
    <t>БТ-274388</t>
  </si>
  <si>
    <t>УТЗ-305312</t>
  </si>
  <si>
    <t>УТЗ-302064</t>
  </si>
  <si>
    <t>БТ-274266</t>
  </si>
  <si>
    <t>УТЗ-305311</t>
  </si>
  <si>
    <t>УТЗ-306824</t>
  </si>
  <si>
    <t>БТ-276535, БТ-276538</t>
  </si>
  <si>
    <t>УТЗ-305293</t>
  </si>
  <si>
    <t>Т-295</t>
  </si>
  <si>
    <t>БТ-273755</t>
  </si>
  <si>
    <t>СТ-274389</t>
  </si>
  <si>
    <t>БТ-273756</t>
  </si>
  <si>
    <t>СТ-274267</t>
  </si>
  <si>
    <t>Т-50/60-8,8</t>
  </si>
  <si>
    <t>К-85-8,0</t>
  </si>
  <si>
    <t>БТ-284871</t>
  </si>
  <si>
    <t>СТ-285136</t>
  </si>
  <si>
    <t>СТ-262149-1</t>
  </si>
  <si>
    <t>БТ-285130</t>
  </si>
  <si>
    <t>Т-110</t>
  </si>
  <si>
    <t>БТ-236455 (-1)</t>
  </si>
  <si>
    <t>К-65-12,8</t>
  </si>
  <si>
    <t>Тп-115/130-12,8</t>
  </si>
  <si>
    <t>БТ-280544</t>
  </si>
  <si>
    <t>СТ-280972</t>
  </si>
  <si>
    <t>СТ-281009</t>
  </si>
  <si>
    <t>Т-60/65-8,8</t>
  </si>
  <si>
    <t>БТ-271369</t>
  </si>
  <si>
    <t>СТ-271489</t>
  </si>
  <si>
    <t>СТ-271490</t>
  </si>
  <si>
    <t>Т-63/76-8,8</t>
  </si>
  <si>
    <t>БТ-269982</t>
  </si>
  <si>
    <t>СТ-262239</t>
  </si>
  <si>
    <t>СТ-262235</t>
  </si>
  <si>
    <t>СТ-262243</t>
  </si>
  <si>
    <t>Т-125/150-12,8</t>
  </si>
  <si>
    <t>Т-50-130-1</t>
  </si>
  <si>
    <t>УТЗ-308701</t>
  </si>
  <si>
    <t>Т-113/145-12,4</t>
  </si>
  <si>
    <t>БТ-262145-1</t>
  </si>
  <si>
    <t>СТ-262150</t>
  </si>
  <si>
    <t>ПТ-100/110-12,8/1,3</t>
  </si>
  <si>
    <t>БТ-281220, БТ-281222</t>
  </si>
  <si>
    <t>БТ-281225, БТ-281225-1</t>
  </si>
  <si>
    <t>СТ-281719</t>
  </si>
  <si>
    <t>СТ-208818-1</t>
  </si>
  <si>
    <t>БТ-281226</t>
  </si>
  <si>
    <t>Расчетный_зазор_мм</t>
  </si>
  <si>
    <t>Турбина</t>
  </si>
  <si>
    <t>СРК</t>
  </si>
  <si>
    <t>Длина_участка_5_мм</t>
  </si>
  <si>
    <t>СК</t>
  </si>
  <si>
    <t>РК</t>
  </si>
  <si>
    <t>БТ-281222</t>
  </si>
  <si>
    <t>БТ-281225</t>
  </si>
  <si>
    <t>БТ-281225-1</t>
  </si>
  <si>
    <t>БТ-236455-1</t>
  </si>
  <si>
    <t>Стопорно-регулирующий</t>
  </si>
  <si>
    <t>СРК-СК</t>
  </si>
  <si>
    <t>СРК-РК</t>
  </si>
  <si>
    <t>Станция</t>
  </si>
  <si>
    <t>№_заводской</t>
  </si>
  <si>
    <t>МЗСО</t>
  </si>
  <si>
    <t>Кп-77-6,8</t>
  </si>
  <si>
    <t>Ударная ТЭС</t>
  </si>
  <si>
    <t>№_станционный</t>
  </si>
  <si>
    <t>1, 2</t>
  </si>
  <si>
    <t>Давление</t>
  </si>
  <si>
    <t>ВД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</si>
</sst>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2"/>
  <sheetViews>
    <sheetView tabSelected="1" zoomScale="85" zoomScaleNormal="85" workbookViewId="0">
      <selection activeCell="F22" sqref="F22"/>
    </sheetView>
  </sheetViews>
  <sheetFormatPr defaultRowHeight="15" x14ac:dyDescent="0.25"/>
  <cols>
    <col min="1" max="1" width="7.42578125" style="1" bestFit="1" customWidth="1"/>
    <col min="2" max="2" width="24.85546875" style="1" bestFit="1" customWidth="1"/>
    <col min="3" max="3" width="21.85546875" style="1" bestFit="1" customWidth="1"/>
    <col min="4" max="4" width="15" style="1" bestFit="1" customWidth="1"/>
    <col min="5" max="5" width="20" style="1" bestFit="1" customWidth="1"/>
    <col min="6" max="6" width="15" style="1" bestFit="1" customWidth="1"/>
    <col min="7" max="16" width="10.7109375" style="1" customWidth="1"/>
  </cols>
  <sheetData>
    <row r="1" spans="1:16" ht="60" x14ac:dyDescent="0.25">
      <c r="A1" s="2" t="s">
        <v>0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4</v>
      </c>
      <c r="H1" s="3" t="s">
        <v>5</v>
      </c>
      <c r="I1" s="3" t="s">
        <v>6</v>
      </c>
      <c r="J1" s="4" t="s">
        <v>136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139</v>
      </c>
      <c r="P1" s="3" t="s">
        <v>62</v>
      </c>
    </row>
    <row r="2" spans="1:16" x14ac:dyDescent="0.25">
      <c r="A2" s="2">
        <v>1</v>
      </c>
      <c r="B2" s="2" t="s">
        <v>1</v>
      </c>
      <c r="C2" s="2" t="s">
        <v>7</v>
      </c>
      <c r="D2" s="2">
        <v>3</v>
      </c>
      <c r="E2" s="2" t="s">
        <v>2</v>
      </c>
      <c r="F2" s="2" t="s">
        <v>3</v>
      </c>
      <c r="G2" s="2">
        <v>36</v>
      </c>
      <c r="H2" s="14">
        <v>-0.48</v>
      </c>
      <c r="I2" s="14">
        <v>6.2E-2</v>
      </c>
      <c r="J2" s="5">
        <f>(I2-H2)/2</f>
        <v>0.27100000000000002</v>
      </c>
      <c r="K2" s="16">
        <v>513</v>
      </c>
      <c r="L2" s="16">
        <v>89</v>
      </c>
      <c r="M2" s="16">
        <v>68</v>
      </c>
      <c r="N2" s="16"/>
      <c r="O2" s="16"/>
      <c r="P2" s="16">
        <v>2</v>
      </c>
    </row>
    <row r="3" spans="1:16" x14ac:dyDescent="0.25">
      <c r="A3" s="2">
        <v>2</v>
      </c>
      <c r="B3" s="2" t="s">
        <v>1</v>
      </c>
      <c r="C3" s="2" t="s">
        <v>8</v>
      </c>
      <c r="D3" s="2">
        <v>3</v>
      </c>
      <c r="E3" s="2" t="s">
        <v>2</v>
      </c>
      <c r="F3" s="2" t="s">
        <v>3</v>
      </c>
      <c r="G3" s="2">
        <v>36</v>
      </c>
      <c r="H3" s="14">
        <v>-0.48</v>
      </c>
      <c r="I3" s="14">
        <v>6.2E-2</v>
      </c>
      <c r="J3" s="5">
        <f t="shared" ref="J3:J23" si="0">(I3-H3)/2</f>
        <v>0.27100000000000002</v>
      </c>
      <c r="K3" s="16">
        <v>513</v>
      </c>
      <c r="L3" s="16">
        <v>89</v>
      </c>
      <c r="M3" s="16">
        <v>68</v>
      </c>
      <c r="N3" s="16"/>
      <c r="O3" s="16"/>
      <c r="P3" s="16">
        <v>2</v>
      </c>
    </row>
    <row r="4" spans="1:16" x14ac:dyDescent="0.25">
      <c r="A4" s="2">
        <v>3</v>
      </c>
      <c r="B4" s="2" t="s">
        <v>1</v>
      </c>
      <c r="C4" s="2" t="s">
        <v>10</v>
      </c>
      <c r="D4" s="2">
        <v>3</v>
      </c>
      <c r="E4" s="2" t="s">
        <v>11</v>
      </c>
      <c r="F4" s="2" t="s">
        <v>12</v>
      </c>
      <c r="G4" s="2">
        <v>32</v>
      </c>
      <c r="H4" s="14">
        <v>-0.28000000000000003</v>
      </c>
      <c r="I4" s="14">
        <v>0.08</v>
      </c>
      <c r="J4" s="5">
        <f t="shared" si="0"/>
        <v>0.18000000000000002</v>
      </c>
      <c r="K4" s="16">
        <v>490</v>
      </c>
      <c r="L4" s="16">
        <v>89</v>
      </c>
      <c r="M4" s="16">
        <v>63</v>
      </c>
      <c r="N4" s="16"/>
      <c r="O4" s="16"/>
      <c r="P4" s="16">
        <v>2</v>
      </c>
    </row>
    <row r="5" spans="1:16" x14ac:dyDescent="0.25">
      <c r="A5" s="2">
        <v>4</v>
      </c>
      <c r="B5" s="2" t="s">
        <v>1</v>
      </c>
      <c r="C5" s="2" t="s">
        <v>9</v>
      </c>
      <c r="D5" s="2">
        <v>3</v>
      </c>
      <c r="E5" s="2" t="s">
        <v>11</v>
      </c>
      <c r="F5" s="2" t="s">
        <v>12</v>
      </c>
      <c r="G5" s="2">
        <v>32</v>
      </c>
      <c r="H5" s="14">
        <v>-0.28000000000000003</v>
      </c>
      <c r="I5" s="14">
        <v>0.08</v>
      </c>
      <c r="J5" s="5">
        <f t="shared" si="0"/>
        <v>0.18000000000000002</v>
      </c>
      <c r="K5" s="16">
        <v>490</v>
      </c>
      <c r="L5" s="16">
        <v>89</v>
      </c>
      <c r="M5" s="16">
        <v>63</v>
      </c>
      <c r="N5" s="16"/>
      <c r="O5" s="16"/>
      <c r="P5" s="16">
        <v>2</v>
      </c>
    </row>
    <row r="6" spans="1:16" x14ac:dyDescent="0.25">
      <c r="A6" s="2">
        <v>5</v>
      </c>
      <c r="B6" s="2" t="s">
        <v>1</v>
      </c>
      <c r="C6" s="2" t="s">
        <v>13</v>
      </c>
      <c r="D6" s="2">
        <v>3</v>
      </c>
      <c r="E6" s="2" t="s">
        <v>2</v>
      </c>
      <c r="F6" s="2" t="s">
        <v>14</v>
      </c>
      <c r="G6" s="2">
        <v>36</v>
      </c>
      <c r="H6" s="14">
        <v>-0.48</v>
      </c>
      <c r="I6" s="14">
        <v>1.6E-2</v>
      </c>
      <c r="J6" s="5">
        <f t="shared" si="0"/>
        <v>0.248</v>
      </c>
      <c r="K6" s="16">
        <v>513</v>
      </c>
      <c r="L6" s="16">
        <v>89</v>
      </c>
      <c r="M6" s="16">
        <v>68</v>
      </c>
      <c r="N6" s="16"/>
      <c r="O6" s="16"/>
      <c r="P6" s="16">
        <v>2</v>
      </c>
    </row>
    <row r="7" spans="1:16" x14ac:dyDescent="0.25">
      <c r="A7" s="2">
        <v>6</v>
      </c>
      <c r="B7" s="2" t="s">
        <v>1</v>
      </c>
      <c r="C7" s="2" t="s">
        <v>15</v>
      </c>
      <c r="D7" s="2">
        <v>3</v>
      </c>
      <c r="E7" s="2" t="s">
        <v>16</v>
      </c>
      <c r="F7" s="2" t="s">
        <v>17</v>
      </c>
      <c r="G7" s="2">
        <v>36</v>
      </c>
      <c r="H7" s="14">
        <v>-0.48</v>
      </c>
      <c r="I7" s="14">
        <v>0.08</v>
      </c>
      <c r="J7" s="5">
        <f t="shared" si="0"/>
        <v>0.27999999999999997</v>
      </c>
      <c r="K7" s="16">
        <v>468</v>
      </c>
      <c r="L7" s="16">
        <v>89</v>
      </c>
      <c r="M7" s="16">
        <v>73</v>
      </c>
      <c r="N7" s="16"/>
      <c r="O7" s="16"/>
      <c r="P7" s="16">
        <v>2</v>
      </c>
    </row>
    <row r="8" spans="1:16" x14ac:dyDescent="0.25">
      <c r="A8" s="2">
        <v>7</v>
      </c>
      <c r="B8" s="2" t="s">
        <v>1</v>
      </c>
      <c r="C8" s="2" t="s">
        <v>18</v>
      </c>
      <c r="D8" s="2">
        <v>3</v>
      </c>
      <c r="E8" s="2" t="s">
        <v>19</v>
      </c>
      <c r="F8" s="2" t="s">
        <v>20</v>
      </c>
      <c r="G8" s="2">
        <v>38</v>
      </c>
      <c r="H8" s="14">
        <v>-0.48</v>
      </c>
      <c r="I8" s="14">
        <v>0.08</v>
      </c>
      <c r="J8" s="5">
        <f t="shared" si="0"/>
        <v>0.27999999999999997</v>
      </c>
      <c r="K8" s="16">
        <v>159.9</v>
      </c>
      <c r="L8" s="16">
        <v>90</v>
      </c>
      <c r="M8" s="16">
        <v>50.5</v>
      </c>
      <c r="N8" s="16"/>
      <c r="O8" s="16"/>
      <c r="P8" s="16">
        <v>1.6</v>
      </c>
    </row>
    <row r="9" spans="1:16" x14ac:dyDescent="0.25">
      <c r="A9" s="2">
        <v>8</v>
      </c>
      <c r="B9" s="2" t="s">
        <v>1</v>
      </c>
      <c r="C9" s="2" t="s">
        <v>21</v>
      </c>
      <c r="D9" s="2">
        <v>3</v>
      </c>
      <c r="E9" s="2" t="s">
        <v>22</v>
      </c>
      <c r="F9" s="2" t="s">
        <v>23</v>
      </c>
      <c r="G9" s="2">
        <v>38</v>
      </c>
      <c r="H9" s="14">
        <v>-0.48</v>
      </c>
      <c r="I9" s="14">
        <v>0.08</v>
      </c>
      <c r="J9" s="5">
        <f t="shared" si="0"/>
        <v>0.27999999999999997</v>
      </c>
      <c r="K9" s="16">
        <v>159.9</v>
      </c>
      <c r="L9" s="16">
        <v>90</v>
      </c>
      <c r="M9" s="16">
        <v>50.5</v>
      </c>
      <c r="N9" s="16"/>
      <c r="O9" s="16"/>
      <c r="P9" s="16">
        <v>1.6</v>
      </c>
    </row>
    <row r="10" spans="1:16" x14ac:dyDescent="0.25">
      <c r="A10" s="2">
        <v>9</v>
      </c>
      <c r="B10" s="2" t="s">
        <v>1</v>
      </c>
      <c r="C10" s="2" t="s">
        <v>24</v>
      </c>
      <c r="D10" s="2">
        <v>3</v>
      </c>
      <c r="E10" s="2" t="s">
        <v>2</v>
      </c>
      <c r="F10" s="2" t="s">
        <v>3</v>
      </c>
      <c r="G10" s="2">
        <v>36</v>
      </c>
      <c r="H10" s="14">
        <v>-0.48</v>
      </c>
      <c r="I10" s="14">
        <v>6.2E-2</v>
      </c>
      <c r="J10" s="5">
        <f t="shared" si="0"/>
        <v>0.27100000000000002</v>
      </c>
      <c r="K10" s="16">
        <v>513</v>
      </c>
      <c r="L10" s="16">
        <v>89</v>
      </c>
      <c r="M10" s="16">
        <v>68</v>
      </c>
      <c r="N10" s="16"/>
      <c r="O10" s="16"/>
      <c r="P10" s="16">
        <v>2</v>
      </c>
    </row>
    <row r="11" spans="1:16" x14ac:dyDescent="0.25">
      <c r="A11" s="2">
        <v>10</v>
      </c>
      <c r="B11" s="2" t="s">
        <v>1</v>
      </c>
      <c r="C11" s="2" t="s">
        <v>25</v>
      </c>
      <c r="D11" s="2">
        <v>4</v>
      </c>
      <c r="E11" s="2" t="s">
        <v>26</v>
      </c>
      <c r="F11" s="2" t="s">
        <v>27</v>
      </c>
      <c r="G11" s="2">
        <v>32</v>
      </c>
      <c r="H11" s="14">
        <v>-0.48</v>
      </c>
      <c r="I11" s="14">
        <v>0.08</v>
      </c>
      <c r="J11" s="5">
        <f t="shared" si="0"/>
        <v>0.27999999999999997</v>
      </c>
      <c r="K11" s="16">
        <v>403</v>
      </c>
      <c r="L11" s="16">
        <v>78</v>
      </c>
      <c r="M11" s="16">
        <v>55</v>
      </c>
      <c r="N11" s="16">
        <v>43</v>
      </c>
      <c r="O11" s="16"/>
      <c r="P11" s="16">
        <v>2</v>
      </c>
    </row>
    <row r="12" spans="1:16" x14ac:dyDescent="0.25">
      <c r="A12" s="2">
        <v>11</v>
      </c>
      <c r="B12" s="2" t="s">
        <v>1</v>
      </c>
      <c r="C12" s="2" t="s">
        <v>28</v>
      </c>
      <c r="D12" s="2">
        <v>3</v>
      </c>
      <c r="E12" s="2" t="s">
        <v>22</v>
      </c>
      <c r="F12" s="2" t="s">
        <v>23</v>
      </c>
      <c r="G12" s="2">
        <v>38</v>
      </c>
      <c r="H12" s="14">
        <v>-0.48</v>
      </c>
      <c r="I12" s="14">
        <v>0.08</v>
      </c>
      <c r="J12" s="5">
        <f t="shared" si="0"/>
        <v>0.27999999999999997</v>
      </c>
      <c r="K12" s="16">
        <v>161.5</v>
      </c>
      <c r="L12" s="16">
        <v>102.5</v>
      </c>
      <c r="M12" s="16">
        <v>50.5</v>
      </c>
      <c r="N12" s="16"/>
      <c r="O12" s="16"/>
      <c r="P12" s="16">
        <v>2</v>
      </c>
    </row>
    <row r="13" spans="1:16" x14ac:dyDescent="0.25">
      <c r="A13" s="2">
        <v>12</v>
      </c>
      <c r="B13" s="2" t="s">
        <v>32</v>
      </c>
      <c r="C13" s="2" t="s">
        <v>29</v>
      </c>
      <c r="D13" s="2">
        <v>4</v>
      </c>
      <c r="E13" s="2" t="s">
        <v>30</v>
      </c>
      <c r="F13" s="2" t="s">
        <v>31</v>
      </c>
      <c r="G13" s="2">
        <v>45</v>
      </c>
      <c r="H13" s="14">
        <v>-0.38</v>
      </c>
      <c r="I13" s="14">
        <v>0.05</v>
      </c>
      <c r="J13" s="5">
        <f t="shared" si="0"/>
        <v>0.215</v>
      </c>
      <c r="K13" s="16">
        <v>325</v>
      </c>
      <c r="L13" s="16">
        <v>48</v>
      </c>
      <c r="M13" s="16">
        <v>22</v>
      </c>
      <c r="N13" s="16">
        <v>25</v>
      </c>
      <c r="O13" s="16"/>
      <c r="P13" s="16">
        <v>5</v>
      </c>
    </row>
    <row r="14" spans="1:16" x14ac:dyDescent="0.25">
      <c r="A14" s="2">
        <v>13</v>
      </c>
      <c r="B14" s="2" t="s">
        <v>32</v>
      </c>
      <c r="C14" s="2" t="s">
        <v>33</v>
      </c>
      <c r="D14" s="2">
        <v>4</v>
      </c>
      <c r="E14" s="2" t="s">
        <v>30</v>
      </c>
      <c r="F14" s="2" t="s">
        <v>31</v>
      </c>
      <c r="G14" s="2">
        <v>45</v>
      </c>
      <c r="H14" s="14">
        <v>-0.38</v>
      </c>
      <c r="I14" s="14">
        <v>0.05</v>
      </c>
      <c r="J14" s="5">
        <f t="shared" si="0"/>
        <v>0.215</v>
      </c>
      <c r="K14" s="16">
        <v>325</v>
      </c>
      <c r="L14" s="16">
        <v>48</v>
      </c>
      <c r="M14" s="16">
        <v>22</v>
      </c>
      <c r="N14" s="16">
        <v>25</v>
      </c>
      <c r="O14" s="16"/>
      <c r="P14" s="16">
        <v>5</v>
      </c>
    </row>
    <row r="15" spans="1:16" x14ac:dyDescent="0.25">
      <c r="A15" s="2">
        <v>14</v>
      </c>
      <c r="B15" s="2" t="s">
        <v>32</v>
      </c>
      <c r="C15" s="2" t="s">
        <v>34</v>
      </c>
      <c r="D15" s="2">
        <v>4</v>
      </c>
      <c r="E15" s="2" t="s">
        <v>35</v>
      </c>
      <c r="F15" s="2" t="s">
        <v>36</v>
      </c>
      <c r="G15" s="2">
        <v>40</v>
      </c>
      <c r="H15" s="14">
        <v>-0.33</v>
      </c>
      <c r="I15" s="14">
        <v>0.08</v>
      </c>
      <c r="J15" s="5">
        <f t="shared" si="0"/>
        <v>0.20500000000000002</v>
      </c>
      <c r="K15" s="16">
        <v>395</v>
      </c>
      <c r="L15" s="16">
        <v>49</v>
      </c>
      <c r="M15" s="16">
        <v>24</v>
      </c>
      <c r="N15" s="16">
        <v>39</v>
      </c>
      <c r="O15" s="16"/>
      <c r="P15" s="16">
        <v>2</v>
      </c>
    </row>
    <row r="16" spans="1:16" x14ac:dyDescent="0.25">
      <c r="A16" s="2">
        <v>15</v>
      </c>
      <c r="B16" s="2" t="s">
        <v>32</v>
      </c>
      <c r="C16" s="2" t="s">
        <v>37</v>
      </c>
      <c r="D16" s="2">
        <v>4</v>
      </c>
      <c r="E16" s="2" t="s">
        <v>35</v>
      </c>
      <c r="F16" s="2" t="s">
        <v>36</v>
      </c>
      <c r="G16" s="2">
        <v>40</v>
      </c>
      <c r="H16" s="14">
        <v>-0.33</v>
      </c>
      <c r="I16" s="14">
        <v>0.08</v>
      </c>
      <c r="J16" s="5">
        <f t="shared" si="0"/>
        <v>0.20500000000000002</v>
      </c>
      <c r="K16" s="16">
        <v>395</v>
      </c>
      <c r="L16" s="16">
        <v>49</v>
      </c>
      <c r="M16" s="16">
        <v>24</v>
      </c>
      <c r="N16" s="16">
        <v>39</v>
      </c>
      <c r="O16" s="16"/>
      <c r="P16" s="16">
        <v>2</v>
      </c>
    </row>
    <row r="17" spans="1:16" x14ac:dyDescent="0.25">
      <c r="A17" s="2">
        <v>16</v>
      </c>
      <c r="B17" s="2" t="s">
        <v>32</v>
      </c>
      <c r="C17" s="2" t="s">
        <v>38</v>
      </c>
      <c r="D17" s="2">
        <v>4</v>
      </c>
      <c r="E17" s="2" t="s">
        <v>39</v>
      </c>
      <c r="F17" s="2" t="s">
        <v>40</v>
      </c>
      <c r="G17" s="2">
        <v>50</v>
      </c>
      <c r="H17" s="14">
        <v>-0.35</v>
      </c>
      <c r="I17" s="14">
        <v>0.08</v>
      </c>
      <c r="J17" s="5">
        <f t="shared" si="0"/>
        <v>0.215</v>
      </c>
      <c r="K17" s="16">
        <v>353.5</v>
      </c>
      <c r="L17" s="16">
        <v>50</v>
      </c>
      <c r="M17" s="16">
        <v>25</v>
      </c>
      <c r="N17" s="16">
        <v>37.5</v>
      </c>
      <c r="O17" s="16"/>
      <c r="P17" s="16">
        <v>2</v>
      </c>
    </row>
    <row r="18" spans="1:16" x14ac:dyDescent="0.25">
      <c r="A18" s="2">
        <v>17</v>
      </c>
      <c r="B18" s="2" t="s">
        <v>32</v>
      </c>
      <c r="C18" s="2" t="s">
        <v>41</v>
      </c>
      <c r="D18" s="2">
        <v>4</v>
      </c>
      <c r="E18" s="2" t="s">
        <v>42</v>
      </c>
      <c r="F18" s="2" t="s">
        <v>43</v>
      </c>
      <c r="G18" s="2">
        <v>40</v>
      </c>
      <c r="H18" s="14">
        <v>-0.35</v>
      </c>
      <c r="I18" s="14">
        <v>0.08</v>
      </c>
      <c r="J18" s="5">
        <f t="shared" si="0"/>
        <v>0.215</v>
      </c>
      <c r="K18" s="16">
        <v>319.5</v>
      </c>
      <c r="L18" s="16">
        <v>50</v>
      </c>
      <c r="M18" s="16">
        <v>25</v>
      </c>
      <c r="N18" s="16">
        <v>37.5</v>
      </c>
      <c r="O18" s="16"/>
      <c r="P18" s="16">
        <v>2</v>
      </c>
    </row>
    <row r="19" spans="1:16" x14ac:dyDescent="0.25">
      <c r="A19" s="2">
        <v>18</v>
      </c>
      <c r="B19" s="2" t="s">
        <v>32</v>
      </c>
      <c r="C19" s="2" t="s">
        <v>44</v>
      </c>
      <c r="D19" s="2">
        <v>4</v>
      </c>
      <c r="E19" s="2" t="s">
        <v>45</v>
      </c>
      <c r="F19" s="2" t="s">
        <v>40</v>
      </c>
      <c r="G19" s="2">
        <v>50</v>
      </c>
      <c r="H19" s="14">
        <v>-0.35</v>
      </c>
      <c r="I19" s="14">
        <v>0.08</v>
      </c>
      <c r="J19" s="5">
        <f t="shared" si="0"/>
        <v>0.215</v>
      </c>
      <c r="K19" s="16">
        <v>353.5</v>
      </c>
      <c r="L19" s="16">
        <v>50</v>
      </c>
      <c r="M19" s="16">
        <v>25</v>
      </c>
      <c r="N19" s="16">
        <v>37.5</v>
      </c>
      <c r="O19" s="16"/>
      <c r="P19" s="16">
        <v>2</v>
      </c>
    </row>
    <row r="20" spans="1:16" x14ac:dyDescent="0.25">
      <c r="A20" s="2">
        <v>19</v>
      </c>
      <c r="B20" s="2" t="s">
        <v>32</v>
      </c>
      <c r="C20" s="2" t="s">
        <v>46</v>
      </c>
      <c r="D20" s="2">
        <v>4</v>
      </c>
      <c r="E20" s="2" t="s">
        <v>47</v>
      </c>
      <c r="F20" s="2" t="s">
        <v>48</v>
      </c>
      <c r="G20" s="2">
        <v>50</v>
      </c>
      <c r="H20" s="14">
        <v>-0.35</v>
      </c>
      <c r="I20" s="14">
        <v>0.08</v>
      </c>
      <c r="J20" s="5">
        <f t="shared" si="0"/>
        <v>0.215</v>
      </c>
      <c r="K20" s="16">
        <v>312.5</v>
      </c>
      <c r="L20" s="16">
        <v>50</v>
      </c>
      <c r="M20" s="16">
        <v>25</v>
      </c>
      <c r="N20" s="16">
        <v>37.5</v>
      </c>
      <c r="O20" s="16"/>
      <c r="P20" s="16">
        <v>2</v>
      </c>
    </row>
    <row r="21" spans="1:16" x14ac:dyDescent="0.25">
      <c r="A21" s="2">
        <v>20</v>
      </c>
      <c r="B21" s="2" t="s">
        <v>32</v>
      </c>
      <c r="C21" s="2" t="s">
        <v>49</v>
      </c>
      <c r="D21" s="2">
        <v>3</v>
      </c>
      <c r="E21" s="2" t="s">
        <v>50</v>
      </c>
      <c r="F21" s="2" t="s">
        <v>51</v>
      </c>
      <c r="G21" s="2">
        <v>50</v>
      </c>
      <c r="H21" s="14">
        <v>-0.35</v>
      </c>
      <c r="I21" s="14">
        <v>0.08</v>
      </c>
      <c r="J21" s="5">
        <f t="shared" si="0"/>
        <v>0.215</v>
      </c>
      <c r="K21" s="16">
        <v>430.5</v>
      </c>
      <c r="L21" s="16">
        <v>35</v>
      </c>
      <c r="M21" s="16">
        <v>37.5</v>
      </c>
      <c r="N21" s="16"/>
      <c r="O21" s="16"/>
      <c r="P21" s="16">
        <v>2</v>
      </c>
    </row>
    <row r="22" spans="1:16" x14ac:dyDescent="0.25">
      <c r="A22" s="2">
        <v>21</v>
      </c>
      <c r="B22" s="2" t="s">
        <v>32</v>
      </c>
      <c r="C22" s="2" t="s">
        <v>52</v>
      </c>
      <c r="D22" s="2">
        <v>4</v>
      </c>
      <c r="E22" s="2" t="s">
        <v>53</v>
      </c>
      <c r="F22" s="2" t="s">
        <v>54</v>
      </c>
      <c r="G22" s="2">
        <v>36</v>
      </c>
      <c r="H22" s="14">
        <v>-0.33</v>
      </c>
      <c r="I22" s="14">
        <v>0.08</v>
      </c>
      <c r="J22" s="5">
        <f t="shared" si="0"/>
        <v>0.20500000000000002</v>
      </c>
      <c r="K22" s="16">
        <v>438.5</v>
      </c>
      <c r="L22" s="16">
        <v>50</v>
      </c>
      <c r="M22" s="16">
        <v>25</v>
      </c>
      <c r="N22" s="16">
        <v>37.5</v>
      </c>
      <c r="O22" s="16"/>
      <c r="P22" s="16">
        <v>2</v>
      </c>
    </row>
    <row r="23" spans="1:16" ht="15.75" thickBot="1" x14ac:dyDescent="0.3">
      <c r="A23" s="6">
        <v>22</v>
      </c>
      <c r="B23" s="6" t="s">
        <v>32</v>
      </c>
      <c r="C23" s="6" t="s">
        <v>55</v>
      </c>
      <c r="D23" s="6">
        <v>4</v>
      </c>
      <c r="E23" s="6" t="s">
        <v>56</v>
      </c>
      <c r="F23" s="6" t="s">
        <v>57</v>
      </c>
      <c r="G23" s="6">
        <v>40</v>
      </c>
      <c r="H23" s="15">
        <v>-0.35</v>
      </c>
      <c r="I23" s="15">
        <v>0.08</v>
      </c>
      <c r="J23" s="7">
        <f t="shared" si="0"/>
        <v>0.215</v>
      </c>
      <c r="K23" s="17">
        <v>313.5</v>
      </c>
      <c r="L23" s="17">
        <v>50</v>
      </c>
      <c r="M23" s="17">
        <v>25</v>
      </c>
      <c r="N23" s="17">
        <v>37.5</v>
      </c>
      <c r="O23" s="17"/>
      <c r="P23" s="17">
        <v>2</v>
      </c>
    </row>
    <row r="24" spans="1:16" x14ac:dyDescent="0.25">
      <c r="A24" s="18">
        <v>23</v>
      </c>
      <c r="B24" s="18" t="s">
        <v>1</v>
      </c>
      <c r="C24" s="18" t="s">
        <v>68</v>
      </c>
      <c r="D24" s="18">
        <v>3</v>
      </c>
      <c r="E24" s="18" t="s">
        <v>2</v>
      </c>
      <c r="F24" s="18" t="s">
        <v>3</v>
      </c>
      <c r="G24" s="18">
        <v>36</v>
      </c>
      <c r="H24" s="19">
        <v>-0.48</v>
      </c>
      <c r="I24" s="19">
        <v>6.2E-2</v>
      </c>
      <c r="J24" s="5">
        <f t="shared" ref="J24:J25" si="1">(I24-H24)/2</f>
        <v>0.27100000000000002</v>
      </c>
      <c r="K24" s="20">
        <v>513</v>
      </c>
      <c r="L24" s="20">
        <v>89</v>
      </c>
      <c r="M24" s="20">
        <v>68</v>
      </c>
      <c r="N24" s="20"/>
      <c r="O24" s="20"/>
      <c r="P24" s="20">
        <v>2</v>
      </c>
    </row>
    <row r="25" spans="1:16" x14ac:dyDescent="0.25">
      <c r="A25" s="18">
        <v>24</v>
      </c>
      <c r="B25" s="18" t="s">
        <v>146</v>
      </c>
      <c r="C25" s="18" t="s">
        <v>70</v>
      </c>
      <c r="D25" s="18">
        <v>4</v>
      </c>
      <c r="E25" s="18" t="s">
        <v>72</v>
      </c>
      <c r="F25" s="18" t="s">
        <v>71</v>
      </c>
      <c r="G25" s="18">
        <v>50</v>
      </c>
      <c r="H25" s="19">
        <v>-0.38</v>
      </c>
      <c r="I25" s="19">
        <v>8.4999999999999951E-2</v>
      </c>
      <c r="J25" s="5">
        <f t="shared" si="1"/>
        <v>0.23249999999999998</v>
      </c>
      <c r="K25" s="20">
        <v>286</v>
      </c>
      <c r="L25" s="20">
        <v>165</v>
      </c>
      <c r="M25" s="20">
        <v>82</v>
      </c>
      <c r="N25" s="20">
        <v>274</v>
      </c>
      <c r="O25" s="20"/>
      <c r="P25" s="20"/>
    </row>
    <row r="26" spans="1:16" x14ac:dyDescent="0.25">
      <c r="A26" s="18">
        <v>25</v>
      </c>
      <c r="B26" s="18" t="s">
        <v>32</v>
      </c>
      <c r="C26" s="18" t="s">
        <v>73</v>
      </c>
      <c r="D26" s="18">
        <v>3</v>
      </c>
      <c r="E26" s="18" t="s">
        <v>74</v>
      </c>
      <c r="F26" s="18" t="s">
        <v>75</v>
      </c>
      <c r="G26" s="18">
        <v>80</v>
      </c>
      <c r="H26" s="19">
        <v>-0.03</v>
      </c>
      <c r="I26" s="19">
        <v>0.435</v>
      </c>
      <c r="J26" s="5">
        <f t="shared" ref="J26:J57" si="2">(I26-H26)/2</f>
        <v>0.23249999999999998</v>
      </c>
      <c r="K26" s="20">
        <v>203</v>
      </c>
      <c r="L26" s="20">
        <v>145</v>
      </c>
      <c r="M26" s="20">
        <v>101.5</v>
      </c>
      <c r="N26" s="20"/>
      <c r="O26" s="20"/>
      <c r="P26" s="20"/>
    </row>
    <row r="27" spans="1:16" x14ac:dyDescent="0.25">
      <c r="A27" s="18">
        <v>26</v>
      </c>
      <c r="B27" s="18" t="s">
        <v>1</v>
      </c>
      <c r="C27" s="18" t="s">
        <v>7</v>
      </c>
      <c r="D27" s="18">
        <v>3</v>
      </c>
      <c r="E27" s="18" t="s">
        <v>2</v>
      </c>
      <c r="F27" s="18" t="s">
        <v>3</v>
      </c>
      <c r="G27" s="18">
        <v>36</v>
      </c>
      <c r="H27" s="19">
        <v>-0.48</v>
      </c>
      <c r="I27" s="19">
        <v>6.2E-2</v>
      </c>
      <c r="J27" s="5">
        <f t="shared" si="2"/>
        <v>0.27100000000000002</v>
      </c>
      <c r="K27" s="20">
        <v>513</v>
      </c>
      <c r="L27" s="20">
        <v>89</v>
      </c>
      <c r="M27" s="20">
        <v>68</v>
      </c>
      <c r="N27" s="20"/>
      <c r="O27" s="20"/>
      <c r="P27" s="20"/>
    </row>
    <row r="28" spans="1:16" x14ac:dyDescent="0.25">
      <c r="A28" s="18">
        <v>27</v>
      </c>
      <c r="B28" s="18" t="s">
        <v>32</v>
      </c>
      <c r="C28" s="18" t="s">
        <v>29</v>
      </c>
      <c r="D28" s="18">
        <v>4</v>
      </c>
      <c r="E28" s="18" t="s">
        <v>77</v>
      </c>
      <c r="F28" s="18" t="s">
        <v>31</v>
      </c>
      <c r="G28" s="18">
        <v>45</v>
      </c>
      <c r="H28" s="19">
        <v>-0.38</v>
      </c>
      <c r="I28" s="19">
        <v>0.05</v>
      </c>
      <c r="J28" s="5">
        <f t="shared" si="2"/>
        <v>0.215</v>
      </c>
      <c r="K28" s="20">
        <v>290</v>
      </c>
      <c r="L28" s="20">
        <v>48</v>
      </c>
      <c r="M28" s="20">
        <v>25</v>
      </c>
      <c r="N28" s="20">
        <v>25</v>
      </c>
      <c r="O28" s="20"/>
      <c r="P28" s="20"/>
    </row>
    <row r="29" spans="1:16" x14ac:dyDescent="0.25">
      <c r="A29" s="18">
        <v>28</v>
      </c>
      <c r="B29" s="18" t="s">
        <v>32</v>
      </c>
      <c r="C29" s="18" t="s">
        <v>79</v>
      </c>
      <c r="D29" s="18">
        <v>5</v>
      </c>
      <c r="E29" s="18" t="s">
        <v>80</v>
      </c>
      <c r="F29" s="18" t="s">
        <v>81</v>
      </c>
      <c r="G29" s="18">
        <v>45</v>
      </c>
      <c r="H29" s="19">
        <v>-0.08</v>
      </c>
      <c r="I29" s="19">
        <v>0.37999999999999995</v>
      </c>
      <c r="J29" s="5">
        <f t="shared" si="2"/>
        <v>0.22999999999999998</v>
      </c>
      <c r="K29" s="20">
        <v>203</v>
      </c>
      <c r="L29" s="20">
        <v>125</v>
      </c>
      <c r="M29" s="20">
        <v>60</v>
      </c>
      <c r="N29" s="20">
        <v>50</v>
      </c>
      <c r="O29" s="20">
        <v>53</v>
      </c>
      <c r="P29" s="20"/>
    </row>
    <row r="30" spans="1:16" x14ac:dyDescent="0.25">
      <c r="A30" s="18">
        <v>29</v>
      </c>
      <c r="B30" s="18" t="s">
        <v>32</v>
      </c>
      <c r="C30" s="18" t="s">
        <v>82</v>
      </c>
      <c r="D30" s="18">
        <v>5</v>
      </c>
      <c r="E30" s="18" t="s">
        <v>83</v>
      </c>
      <c r="F30" s="18" t="s">
        <v>81</v>
      </c>
      <c r="G30" s="18">
        <v>45</v>
      </c>
      <c r="H30" s="19">
        <v>-0.08</v>
      </c>
      <c r="I30" s="19">
        <v>0.14000000000000001</v>
      </c>
      <c r="J30" s="5">
        <f t="shared" si="2"/>
        <v>0.11000000000000001</v>
      </c>
      <c r="K30" s="20">
        <v>296</v>
      </c>
      <c r="L30" s="20">
        <v>125</v>
      </c>
      <c r="M30" s="20">
        <v>60</v>
      </c>
      <c r="N30" s="20">
        <v>50</v>
      </c>
      <c r="O30" s="20">
        <v>53</v>
      </c>
      <c r="P30" s="20"/>
    </row>
    <row r="31" spans="1:16" x14ac:dyDescent="0.25">
      <c r="A31" s="18">
        <v>30</v>
      </c>
      <c r="B31" s="18" t="s">
        <v>1</v>
      </c>
      <c r="C31" s="18" t="s">
        <v>84</v>
      </c>
      <c r="D31" s="18">
        <v>4</v>
      </c>
      <c r="E31" s="18" t="s">
        <v>85</v>
      </c>
      <c r="F31" s="18" t="s">
        <v>86</v>
      </c>
      <c r="G31" s="18">
        <v>32</v>
      </c>
      <c r="H31" s="19">
        <v>-0.48</v>
      </c>
      <c r="I31" s="19">
        <v>0.1</v>
      </c>
      <c r="J31" s="5">
        <f t="shared" si="2"/>
        <v>0.28999999999999998</v>
      </c>
      <c r="K31" s="20">
        <v>415</v>
      </c>
      <c r="L31" s="20">
        <v>78</v>
      </c>
      <c r="M31" s="20">
        <v>55</v>
      </c>
      <c r="N31" s="20">
        <v>43</v>
      </c>
      <c r="O31" s="20"/>
      <c r="P31" s="20"/>
    </row>
    <row r="32" spans="1:16" x14ac:dyDescent="0.25">
      <c r="A32" s="18">
        <v>31</v>
      </c>
      <c r="B32" s="18" t="s">
        <v>32</v>
      </c>
      <c r="C32" s="18" t="s">
        <v>88</v>
      </c>
      <c r="D32" s="18">
        <v>5</v>
      </c>
      <c r="E32" s="18" t="s">
        <v>89</v>
      </c>
      <c r="F32" s="18" t="s">
        <v>90</v>
      </c>
      <c r="G32" s="18">
        <v>50</v>
      </c>
      <c r="H32" s="19">
        <v>-0.5</v>
      </c>
      <c r="I32" s="19">
        <v>7.999999999999996E-2</v>
      </c>
      <c r="J32" s="5">
        <f t="shared" si="2"/>
        <v>0.28999999999999998</v>
      </c>
      <c r="K32" s="20">
        <v>132</v>
      </c>
      <c r="L32" s="20">
        <v>125</v>
      </c>
      <c r="M32" s="20">
        <v>60</v>
      </c>
      <c r="N32" s="20">
        <v>50</v>
      </c>
      <c r="O32" s="20">
        <v>53</v>
      </c>
      <c r="P32" s="20"/>
    </row>
    <row r="33" spans="1:16" x14ac:dyDescent="0.25">
      <c r="A33" s="18">
        <v>32</v>
      </c>
      <c r="B33" s="18" t="s">
        <v>1</v>
      </c>
      <c r="C33" s="18" t="s">
        <v>91</v>
      </c>
      <c r="D33" s="18">
        <v>5</v>
      </c>
      <c r="E33" s="18" t="s">
        <v>92</v>
      </c>
      <c r="F33" s="18" t="s">
        <v>93</v>
      </c>
      <c r="G33" s="18">
        <v>50</v>
      </c>
      <c r="H33" s="19">
        <v>-0.5</v>
      </c>
      <c r="I33" s="19">
        <v>7.999999999999996E-2</v>
      </c>
      <c r="J33" s="5">
        <f t="shared" si="2"/>
        <v>0.28999999999999998</v>
      </c>
      <c r="K33" s="20">
        <v>202</v>
      </c>
      <c r="L33" s="20">
        <v>125</v>
      </c>
      <c r="M33" s="20">
        <v>60</v>
      </c>
      <c r="N33" s="20">
        <v>50</v>
      </c>
      <c r="O33" s="20">
        <v>53</v>
      </c>
      <c r="P33" s="20"/>
    </row>
    <row r="34" spans="1:16" x14ac:dyDescent="0.25">
      <c r="A34" s="18">
        <v>33</v>
      </c>
      <c r="B34" s="18" t="s">
        <v>1</v>
      </c>
      <c r="C34" s="18" t="s">
        <v>94</v>
      </c>
      <c r="D34" s="18">
        <v>4</v>
      </c>
      <c r="E34" s="18" t="s">
        <v>95</v>
      </c>
      <c r="F34" s="18" t="s">
        <v>96</v>
      </c>
      <c r="G34" s="18">
        <v>32</v>
      </c>
      <c r="H34" s="19">
        <v>-0.48</v>
      </c>
      <c r="I34" s="19">
        <v>8.0000000000000071E-2</v>
      </c>
      <c r="J34" s="5">
        <f t="shared" si="2"/>
        <v>0.28000000000000003</v>
      </c>
      <c r="K34" s="20">
        <v>403</v>
      </c>
      <c r="L34" s="20">
        <v>78</v>
      </c>
      <c r="M34" s="20">
        <v>55</v>
      </c>
      <c r="N34" s="20">
        <v>43</v>
      </c>
      <c r="O34" s="20"/>
      <c r="P34" s="20"/>
    </row>
    <row r="35" spans="1:16" x14ac:dyDescent="0.25">
      <c r="A35" s="18">
        <v>34</v>
      </c>
      <c r="B35" s="18" t="s">
        <v>32</v>
      </c>
      <c r="C35" s="18" t="s">
        <v>98</v>
      </c>
      <c r="D35" s="18">
        <v>5</v>
      </c>
      <c r="E35" s="18" t="s">
        <v>89</v>
      </c>
      <c r="F35" s="18" t="s">
        <v>99</v>
      </c>
      <c r="G35" s="18">
        <v>50</v>
      </c>
      <c r="H35" s="19">
        <v>-0.5</v>
      </c>
      <c r="I35" s="19">
        <v>7.999999999999996E-2</v>
      </c>
      <c r="J35" s="5">
        <f t="shared" si="2"/>
        <v>0.28999999999999998</v>
      </c>
      <c r="K35" s="20">
        <v>132</v>
      </c>
      <c r="L35" s="20">
        <v>125</v>
      </c>
      <c r="M35" s="20">
        <v>60</v>
      </c>
      <c r="N35" s="20">
        <v>50</v>
      </c>
      <c r="O35" s="20">
        <v>53</v>
      </c>
      <c r="P35" s="20"/>
    </row>
    <row r="36" spans="1:16" x14ac:dyDescent="0.25">
      <c r="A36" s="18">
        <v>35</v>
      </c>
      <c r="B36" s="18" t="s">
        <v>32</v>
      </c>
      <c r="C36" s="18" t="s">
        <v>100</v>
      </c>
      <c r="D36" s="18">
        <v>5</v>
      </c>
      <c r="E36" s="18" t="s">
        <v>92</v>
      </c>
      <c r="F36" s="18" t="s">
        <v>101</v>
      </c>
      <c r="G36" s="18">
        <v>50</v>
      </c>
      <c r="H36" s="19">
        <v>-0.5</v>
      </c>
      <c r="I36" s="19">
        <v>7.999999999999996E-2</v>
      </c>
      <c r="J36" s="5">
        <f t="shared" si="2"/>
        <v>0.28999999999999998</v>
      </c>
      <c r="K36" s="20">
        <v>202</v>
      </c>
      <c r="L36" s="20">
        <v>125</v>
      </c>
      <c r="M36" s="20">
        <v>60</v>
      </c>
      <c r="N36" s="20">
        <v>50</v>
      </c>
      <c r="O36" s="20">
        <v>53</v>
      </c>
      <c r="P36" s="20"/>
    </row>
    <row r="37" spans="1:16" x14ac:dyDescent="0.25">
      <c r="A37" s="18">
        <v>36</v>
      </c>
      <c r="B37" s="18" t="s">
        <v>1</v>
      </c>
      <c r="C37" s="18" t="s">
        <v>25</v>
      </c>
      <c r="D37" s="18">
        <v>4</v>
      </c>
      <c r="E37" s="18" t="s">
        <v>95</v>
      </c>
      <c r="F37" s="18" t="s">
        <v>27</v>
      </c>
      <c r="G37" s="18">
        <v>32</v>
      </c>
      <c r="H37" s="19">
        <v>-0.48</v>
      </c>
      <c r="I37" s="19">
        <v>8.0000000000000071E-2</v>
      </c>
      <c r="J37" s="5">
        <f t="shared" si="2"/>
        <v>0.28000000000000003</v>
      </c>
      <c r="K37" s="20">
        <v>403</v>
      </c>
      <c r="L37" s="20">
        <v>78</v>
      </c>
      <c r="M37" s="20">
        <v>55</v>
      </c>
      <c r="N37" s="20">
        <v>43</v>
      </c>
      <c r="O37" s="20"/>
      <c r="P37" s="20"/>
    </row>
    <row r="38" spans="1:16" x14ac:dyDescent="0.25">
      <c r="A38" s="18">
        <v>37</v>
      </c>
      <c r="B38" s="18" t="s">
        <v>1</v>
      </c>
      <c r="C38" s="18" t="s">
        <v>10</v>
      </c>
      <c r="D38" s="18">
        <v>3</v>
      </c>
      <c r="E38" s="18" t="s">
        <v>11</v>
      </c>
      <c r="F38" s="18" t="s">
        <v>12</v>
      </c>
      <c r="G38" s="18">
        <v>32</v>
      </c>
      <c r="H38" s="19">
        <v>-0.28000000000000003</v>
      </c>
      <c r="I38" s="19">
        <v>7.999999999999996E-2</v>
      </c>
      <c r="J38" s="5">
        <f t="shared" si="2"/>
        <v>0.18</v>
      </c>
      <c r="K38" s="20">
        <v>490</v>
      </c>
      <c r="L38" s="20">
        <v>89</v>
      </c>
      <c r="M38" s="20">
        <v>63</v>
      </c>
      <c r="N38" s="20"/>
      <c r="O38" s="20"/>
      <c r="P38" s="20"/>
    </row>
    <row r="39" spans="1:16" x14ac:dyDescent="0.25">
      <c r="A39" s="18">
        <v>38</v>
      </c>
      <c r="B39" s="18" t="s">
        <v>32</v>
      </c>
      <c r="C39" s="18" t="s">
        <v>104</v>
      </c>
      <c r="D39" s="18">
        <v>4</v>
      </c>
      <c r="E39" s="18" t="s">
        <v>105</v>
      </c>
      <c r="F39" s="18" t="s">
        <v>106</v>
      </c>
      <c r="G39" s="18">
        <v>40</v>
      </c>
      <c r="H39" s="19">
        <v>-0.35</v>
      </c>
      <c r="I39" s="19">
        <v>8.0000000000000016E-2</v>
      </c>
      <c r="J39" s="5">
        <f t="shared" si="2"/>
        <v>0.215</v>
      </c>
      <c r="K39" s="20">
        <v>299.5</v>
      </c>
      <c r="L39" s="20">
        <v>50</v>
      </c>
      <c r="M39" s="20">
        <v>25</v>
      </c>
      <c r="N39" s="20">
        <v>37.5</v>
      </c>
      <c r="O39" s="20"/>
      <c r="P39" s="20"/>
    </row>
    <row r="40" spans="1:16" x14ac:dyDescent="0.25">
      <c r="A40" s="18">
        <v>39</v>
      </c>
      <c r="B40" s="18" t="s">
        <v>1</v>
      </c>
      <c r="C40" s="18" t="s">
        <v>107</v>
      </c>
      <c r="D40" s="18">
        <v>3</v>
      </c>
      <c r="E40" s="18" t="s">
        <v>22</v>
      </c>
      <c r="F40" s="18" t="s">
        <v>23</v>
      </c>
      <c r="G40" s="18">
        <v>38</v>
      </c>
      <c r="H40" s="19">
        <v>-0.48</v>
      </c>
      <c r="I40" s="19">
        <v>8.0000000000000071E-2</v>
      </c>
      <c r="J40" s="5">
        <f t="shared" si="2"/>
        <v>0.28000000000000003</v>
      </c>
      <c r="K40" s="20">
        <v>161.5</v>
      </c>
      <c r="L40" s="20">
        <v>90</v>
      </c>
      <c r="M40" s="20">
        <v>50.5</v>
      </c>
      <c r="N40" s="20"/>
      <c r="O40" s="20"/>
      <c r="P40" s="20"/>
    </row>
    <row r="41" spans="1:16" x14ac:dyDescent="0.25">
      <c r="A41" s="18">
        <v>40</v>
      </c>
      <c r="B41" s="18" t="s">
        <v>1</v>
      </c>
      <c r="C41" s="18" t="s">
        <v>109</v>
      </c>
      <c r="D41" s="18">
        <v>3</v>
      </c>
      <c r="E41" s="18" t="s">
        <v>2</v>
      </c>
      <c r="F41" s="18" t="s">
        <v>3</v>
      </c>
      <c r="G41" s="18">
        <v>36</v>
      </c>
      <c r="H41" s="19">
        <v>-0.48</v>
      </c>
      <c r="I41" s="19">
        <v>6.2000000000000055E-2</v>
      </c>
      <c r="J41" s="5">
        <f t="shared" si="2"/>
        <v>0.27100000000000002</v>
      </c>
      <c r="K41" s="20">
        <v>513</v>
      </c>
      <c r="L41" s="20">
        <v>89</v>
      </c>
      <c r="M41" s="20">
        <v>68</v>
      </c>
      <c r="N41" s="20"/>
      <c r="O41" s="20"/>
      <c r="P41" s="20"/>
    </row>
    <row r="42" spans="1:16" x14ac:dyDescent="0.25">
      <c r="A42" s="18">
        <v>41</v>
      </c>
      <c r="B42" s="18" t="s">
        <v>32</v>
      </c>
      <c r="C42" s="18" t="s">
        <v>38</v>
      </c>
      <c r="D42" s="18">
        <v>4</v>
      </c>
      <c r="E42" s="18" t="s">
        <v>39</v>
      </c>
      <c r="F42" s="18" t="s">
        <v>40</v>
      </c>
      <c r="G42" s="18">
        <v>50</v>
      </c>
      <c r="H42" s="19">
        <v>-0.35</v>
      </c>
      <c r="I42" s="19">
        <v>8.0000000000000016E-2</v>
      </c>
      <c r="J42" s="5">
        <f t="shared" si="2"/>
        <v>0.215</v>
      </c>
      <c r="K42" s="20">
        <v>353.5</v>
      </c>
      <c r="L42" s="20">
        <v>50</v>
      </c>
      <c r="M42" s="20">
        <v>25</v>
      </c>
      <c r="N42" s="20">
        <v>37.5</v>
      </c>
      <c r="O42" s="20"/>
      <c r="P42" s="20"/>
    </row>
    <row r="43" spans="1:16" x14ac:dyDescent="0.25">
      <c r="A43" s="18">
        <v>42</v>
      </c>
      <c r="B43" s="18" t="s">
        <v>32</v>
      </c>
      <c r="C43" s="18" t="s">
        <v>52</v>
      </c>
      <c r="D43" s="18">
        <v>4</v>
      </c>
      <c r="E43" s="18" t="s">
        <v>53</v>
      </c>
      <c r="F43" s="18" t="s">
        <v>54</v>
      </c>
      <c r="G43" s="18">
        <v>36</v>
      </c>
      <c r="H43" s="19">
        <v>-0.33</v>
      </c>
      <c r="I43" s="19">
        <v>7.999999999999996E-2</v>
      </c>
      <c r="J43" s="5">
        <f t="shared" si="2"/>
        <v>0.20499999999999999</v>
      </c>
      <c r="K43" s="20">
        <v>438.5</v>
      </c>
      <c r="L43" s="20">
        <v>50</v>
      </c>
      <c r="M43" s="20">
        <v>25</v>
      </c>
      <c r="N43" s="20">
        <v>37.5</v>
      </c>
      <c r="O43" s="20"/>
      <c r="P43" s="20"/>
    </row>
    <row r="44" spans="1:16" x14ac:dyDescent="0.25">
      <c r="A44" s="18">
        <v>43</v>
      </c>
      <c r="B44" s="18" t="s">
        <v>1</v>
      </c>
      <c r="C44" s="18" t="s">
        <v>24</v>
      </c>
      <c r="D44" s="18">
        <v>3</v>
      </c>
      <c r="E44" s="18" t="s">
        <v>2</v>
      </c>
      <c r="F44" s="18" t="s">
        <v>3</v>
      </c>
      <c r="G44" s="18">
        <v>36</v>
      </c>
      <c r="H44" s="19">
        <v>-0.48</v>
      </c>
      <c r="I44" s="19">
        <v>6.2000000000000055E-2</v>
      </c>
      <c r="J44" s="5">
        <f t="shared" si="2"/>
        <v>0.27100000000000002</v>
      </c>
      <c r="K44" s="20">
        <v>513</v>
      </c>
      <c r="L44" s="20">
        <v>89</v>
      </c>
      <c r="M44" s="20">
        <v>68</v>
      </c>
      <c r="N44" s="20"/>
      <c r="O44" s="20"/>
      <c r="P44" s="20"/>
    </row>
    <row r="45" spans="1:16" x14ac:dyDescent="0.25">
      <c r="A45" s="18">
        <v>44</v>
      </c>
      <c r="B45" s="18" t="s">
        <v>32</v>
      </c>
      <c r="C45" s="18" t="s">
        <v>46</v>
      </c>
      <c r="D45" s="18">
        <v>4</v>
      </c>
      <c r="E45" s="18" t="s">
        <v>47</v>
      </c>
      <c r="F45" s="18" t="s">
        <v>48</v>
      </c>
      <c r="G45" s="18">
        <v>50</v>
      </c>
      <c r="H45" s="19">
        <v>-0.35</v>
      </c>
      <c r="I45" s="19">
        <v>8.0000000000000016E-2</v>
      </c>
      <c r="J45" s="5">
        <f t="shared" si="2"/>
        <v>0.215</v>
      </c>
      <c r="K45" s="20">
        <v>314.5</v>
      </c>
      <c r="L45" s="20">
        <v>50</v>
      </c>
      <c r="M45" s="20">
        <v>25</v>
      </c>
      <c r="N45" s="20">
        <v>37.5</v>
      </c>
      <c r="O45" s="20"/>
      <c r="P45" s="20"/>
    </row>
    <row r="46" spans="1:16" x14ac:dyDescent="0.25">
      <c r="A46" s="18">
        <v>45</v>
      </c>
      <c r="B46" s="18" t="s">
        <v>1</v>
      </c>
      <c r="C46" s="18" t="s">
        <v>21</v>
      </c>
      <c r="D46" s="18">
        <v>3</v>
      </c>
      <c r="E46" s="18" t="s">
        <v>22</v>
      </c>
      <c r="F46" s="18" t="s">
        <v>23</v>
      </c>
      <c r="G46" s="18">
        <v>38</v>
      </c>
      <c r="H46" s="19">
        <v>-0.48</v>
      </c>
      <c r="I46" s="19">
        <v>8.0000000000000071E-2</v>
      </c>
      <c r="J46" s="5">
        <f t="shared" si="2"/>
        <v>0.28000000000000003</v>
      </c>
      <c r="K46" s="20">
        <v>161.5</v>
      </c>
      <c r="L46" s="20">
        <v>90</v>
      </c>
      <c r="M46" s="20">
        <v>50.5</v>
      </c>
      <c r="N46" s="20"/>
      <c r="O46" s="20"/>
      <c r="P46" s="20"/>
    </row>
    <row r="47" spans="1:16" x14ac:dyDescent="0.25">
      <c r="A47" s="18">
        <v>46</v>
      </c>
      <c r="B47" s="18" t="s">
        <v>32</v>
      </c>
      <c r="C47" s="18" t="s">
        <v>55</v>
      </c>
      <c r="D47" s="18">
        <v>4</v>
      </c>
      <c r="E47" s="18" t="s">
        <v>56</v>
      </c>
      <c r="F47" s="18" t="s">
        <v>57</v>
      </c>
      <c r="G47" s="18">
        <v>40</v>
      </c>
      <c r="H47" s="19">
        <v>-0.36</v>
      </c>
      <c r="I47" s="19">
        <v>7.0000000000000007E-2</v>
      </c>
      <c r="J47" s="5">
        <f t="shared" si="2"/>
        <v>0.215</v>
      </c>
      <c r="K47" s="20">
        <v>309.5</v>
      </c>
      <c r="L47" s="20">
        <v>50</v>
      </c>
      <c r="M47" s="20">
        <v>25</v>
      </c>
      <c r="N47" s="20">
        <v>37.5</v>
      </c>
      <c r="O47" s="20"/>
      <c r="P47" s="20"/>
    </row>
    <row r="48" spans="1:16" x14ac:dyDescent="0.25">
      <c r="A48" s="18">
        <v>47</v>
      </c>
      <c r="B48" s="18" t="s">
        <v>32</v>
      </c>
      <c r="C48" s="18" t="s">
        <v>112</v>
      </c>
      <c r="D48" s="18">
        <v>4</v>
      </c>
      <c r="E48" s="18" t="s">
        <v>113</v>
      </c>
      <c r="F48" s="18" t="s">
        <v>114</v>
      </c>
      <c r="G48" s="18">
        <v>50</v>
      </c>
      <c r="H48" s="19">
        <v>-0.35</v>
      </c>
      <c r="I48" s="19">
        <v>8.0000000000000016E-2</v>
      </c>
      <c r="J48" s="5">
        <f t="shared" si="2"/>
        <v>0.215</v>
      </c>
      <c r="K48" s="20">
        <v>509.5</v>
      </c>
      <c r="L48" s="20">
        <v>50</v>
      </c>
      <c r="M48" s="20">
        <v>25</v>
      </c>
      <c r="N48" s="20">
        <v>37.5</v>
      </c>
      <c r="O48" s="20"/>
      <c r="P48" s="20"/>
    </row>
    <row r="49" spans="1:16" x14ac:dyDescent="0.25">
      <c r="A49" s="18">
        <v>48</v>
      </c>
      <c r="B49" s="18" t="s">
        <v>32</v>
      </c>
      <c r="C49" s="18" t="s">
        <v>116</v>
      </c>
      <c r="D49" s="18">
        <v>4</v>
      </c>
      <c r="E49" s="18" t="s">
        <v>117</v>
      </c>
      <c r="F49" s="18" t="s">
        <v>118</v>
      </c>
      <c r="G49" s="18">
        <v>45</v>
      </c>
      <c r="H49" s="19">
        <v>-0.35</v>
      </c>
      <c r="I49" s="19">
        <v>8.0000000000000016E-2</v>
      </c>
      <c r="J49" s="5">
        <f t="shared" si="2"/>
        <v>0.215</v>
      </c>
      <c r="K49" s="20">
        <v>336.5</v>
      </c>
      <c r="L49" s="20">
        <v>50</v>
      </c>
      <c r="M49" s="20">
        <v>25</v>
      </c>
      <c r="N49" s="20">
        <v>37.5</v>
      </c>
      <c r="O49" s="20"/>
      <c r="P49" s="20"/>
    </row>
    <row r="50" spans="1:16" x14ac:dyDescent="0.25">
      <c r="A50" s="18">
        <v>49</v>
      </c>
      <c r="B50" s="18" t="s">
        <v>146</v>
      </c>
      <c r="C50" s="18" t="s">
        <v>120</v>
      </c>
      <c r="D50" s="18">
        <v>3</v>
      </c>
      <c r="E50" s="18" t="s">
        <v>121</v>
      </c>
      <c r="F50" s="18" t="s">
        <v>122</v>
      </c>
      <c r="G50" s="18">
        <v>50</v>
      </c>
      <c r="H50" s="19">
        <v>-0.38</v>
      </c>
      <c r="I50" s="19">
        <v>8.0000000000000016E-2</v>
      </c>
      <c r="J50" s="5">
        <f t="shared" si="2"/>
        <v>0.23</v>
      </c>
      <c r="K50" s="20">
        <v>187.5</v>
      </c>
      <c r="L50" s="20">
        <v>110</v>
      </c>
      <c r="M50" s="20">
        <v>292.5</v>
      </c>
      <c r="N50" s="20"/>
      <c r="O50" s="20"/>
      <c r="P50" s="20"/>
    </row>
    <row r="51" spans="1:16" x14ac:dyDescent="0.25">
      <c r="A51" s="18">
        <v>50</v>
      </c>
      <c r="B51" s="18" t="s">
        <v>1</v>
      </c>
      <c r="C51" s="18"/>
      <c r="D51" s="18">
        <v>3</v>
      </c>
      <c r="E51" s="18" t="s">
        <v>123</v>
      </c>
      <c r="F51" s="18" t="s">
        <v>121</v>
      </c>
      <c r="G51" s="18">
        <v>80</v>
      </c>
      <c r="H51" s="19">
        <v>-0.03</v>
      </c>
      <c r="I51" s="19">
        <v>0.43500000000000005</v>
      </c>
      <c r="J51" s="5">
        <f t="shared" si="2"/>
        <v>0.23250000000000004</v>
      </c>
      <c r="K51" s="20">
        <v>110</v>
      </c>
      <c r="L51" s="20">
        <v>110</v>
      </c>
      <c r="M51" s="20">
        <v>77.5</v>
      </c>
      <c r="N51" s="20"/>
      <c r="O51" s="20"/>
      <c r="P51" s="20"/>
    </row>
    <row r="52" spans="1:16" x14ac:dyDescent="0.25">
      <c r="A52" s="18">
        <v>51</v>
      </c>
      <c r="B52" s="18" t="s">
        <v>1</v>
      </c>
      <c r="C52" s="18" t="s">
        <v>28</v>
      </c>
      <c r="D52" s="18">
        <v>3</v>
      </c>
      <c r="E52" s="18" t="s">
        <v>22</v>
      </c>
      <c r="F52" s="18" t="s">
        <v>23</v>
      </c>
      <c r="G52" s="18">
        <v>38</v>
      </c>
      <c r="H52" s="19">
        <v>-0.48</v>
      </c>
      <c r="I52" s="19">
        <v>8.0000000000000071E-2</v>
      </c>
      <c r="J52" s="5">
        <f t="shared" si="2"/>
        <v>0.28000000000000003</v>
      </c>
      <c r="K52" s="20">
        <v>161.5</v>
      </c>
      <c r="L52" s="20">
        <v>90</v>
      </c>
      <c r="M52" s="20">
        <v>50.5</v>
      </c>
      <c r="N52" s="20"/>
      <c r="O52" s="20"/>
      <c r="P52" s="20"/>
    </row>
    <row r="53" spans="1:16" x14ac:dyDescent="0.25">
      <c r="A53" s="18">
        <v>52</v>
      </c>
      <c r="B53" s="18" t="s">
        <v>32</v>
      </c>
      <c r="C53" s="18" t="s">
        <v>41</v>
      </c>
      <c r="D53" s="18">
        <v>4</v>
      </c>
      <c r="E53" s="18" t="s">
        <v>42</v>
      </c>
      <c r="F53" s="18" t="s">
        <v>43</v>
      </c>
      <c r="G53" s="18">
        <v>40</v>
      </c>
      <c r="H53" s="19">
        <v>-0.35</v>
      </c>
      <c r="I53" s="19">
        <v>8.0000000000000016E-2</v>
      </c>
      <c r="J53" s="5">
        <f t="shared" si="2"/>
        <v>0.215</v>
      </c>
      <c r="K53" s="20">
        <v>319.5</v>
      </c>
      <c r="L53" s="20">
        <v>50</v>
      </c>
      <c r="M53" s="20">
        <v>25</v>
      </c>
      <c r="N53" s="20">
        <v>37.5</v>
      </c>
      <c r="O53" s="20"/>
      <c r="P53" s="20"/>
    </row>
    <row r="54" spans="1:16" x14ac:dyDescent="0.25">
      <c r="A54" s="18">
        <v>53</v>
      </c>
      <c r="B54" s="18" t="s">
        <v>1</v>
      </c>
      <c r="C54" s="18" t="s">
        <v>126</v>
      </c>
      <c r="D54" s="18">
        <v>3</v>
      </c>
      <c r="E54" s="18" t="s">
        <v>2</v>
      </c>
      <c r="F54" s="18" t="s">
        <v>3</v>
      </c>
      <c r="G54" s="18">
        <v>36</v>
      </c>
      <c r="H54" s="19">
        <v>-0.48</v>
      </c>
      <c r="I54" s="19">
        <v>6.2000000000000055E-2</v>
      </c>
      <c r="J54" s="5">
        <f t="shared" si="2"/>
        <v>0.27100000000000002</v>
      </c>
      <c r="K54" s="20">
        <v>513</v>
      </c>
      <c r="L54" s="20">
        <v>89</v>
      </c>
      <c r="M54" s="20">
        <v>68</v>
      </c>
      <c r="N54" s="20"/>
      <c r="O54" s="20"/>
      <c r="P54" s="20"/>
    </row>
    <row r="55" spans="1:16" x14ac:dyDescent="0.25">
      <c r="A55" s="18">
        <v>54</v>
      </c>
      <c r="B55" s="18" t="s">
        <v>32</v>
      </c>
      <c r="C55" s="18" t="s">
        <v>128</v>
      </c>
      <c r="D55" s="18">
        <v>4</v>
      </c>
      <c r="E55" s="18" t="s">
        <v>129</v>
      </c>
      <c r="F55" s="18" t="s">
        <v>106</v>
      </c>
      <c r="G55" s="18">
        <v>40</v>
      </c>
      <c r="H55" s="19">
        <v>-0.35</v>
      </c>
      <c r="I55" s="19">
        <v>8.0000000000000016E-2</v>
      </c>
      <c r="J55" s="5">
        <f t="shared" si="2"/>
        <v>0.215</v>
      </c>
      <c r="K55" s="20">
        <v>299.5</v>
      </c>
      <c r="L55" s="20">
        <v>50</v>
      </c>
      <c r="M55" s="20">
        <v>25</v>
      </c>
      <c r="N55" s="20">
        <v>37.5</v>
      </c>
      <c r="O55" s="20"/>
      <c r="P55" s="20"/>
    </row>
    <row r="56" spans="1:16" x14ac:dyDescent="0.25">
      <c r="A56" s="18">
        <v>55</v>
      </c>
      <c r="B56" s="18" t="s">
        <v>32</v>
      </c>
      <c r="C56" s="18" t="s">
        <v>131</v>
      </c>
      <c r="D56" s="18">
        <v>3</v>
      </c>
      <c r="E56" s="18" t="s">
        <v>50</v>
      </c>
      <c r="F56" s="18" t="s">
        <v>51</v>
      </c>
      <c r="G56" s="18">
        <v>50</v>
      </c>
      <c r="H56" s="19">
        <v>-0.35</v>
      </c>
      <c r="I56" s="19">
        <v>8.0000000000000016E-2</v>
      </c>
      <c r="J56" s="5">
        <f t="shared" si="2"/>
        <v>0.215</v>
      </c>
      <c r="K56" s="20">
        <v>428.5</v>
      </c>
      <c r="L56" s="20">
        <v>35</v>
      </c>
      <c r="M56" s="20">
        <v>37.5</v>
      </c>
      <c r="N56" s="20"/>
      <c r="O56" s="20"/>
      <c r="P56" s="20"/>
    </row>
    <row r="57" spans="1:16" x14ac:dyDescent="0.25">
      <c r="A57" s="18">
        <v>56</v>
      </c>
      <c r="B57" s="18" t="s">
        <v>32</v>
      </c>
      <c r="C57" s="18" t="s">
        <v>132</v>
      </c>
      <c r="D57" s="18">
        <v>3</v>
      </c>
      <c r="E57" s="18" t="s">
        <v>133</v>
      </c>
      <c r="F57" s="18" t="s">
        <v>134</v>
      </c>
      <c r="G57" s="18">
        <v>42</v>
      </c>
      <c r="H57" s="19">
        <v>-0.35</v>
      </c>
      <c r="I57" s="19">
        <v>8.0000000000000016E-2</v>
      </c>
      <c r="J57" s="5">
        <f t="shared" si="2"/>
        <v>0.215</v>
      </c>
      <c r="K57" s="20">
        <v>507</v>
      </c>
      <c r="L57" s="20">
        <v>40</v>
      </c>
      <c r="M57" s="20"/>
      <c r="N57" s="20"/>
      <c r="O57" s="20"/>
      <c r="P57" s="20"/>
    </row>
    <row r="58" spans="1:16" x14ac:dyDescent="0.25">
      <c r="A58" s="18">
        <v>57</v>
      </c>
      <c r="B58" s="18" t="s">
        <v>32</v>
      </c>
      <c r="C58" s="18" t="s">
        <v>135</v>
      </c>
      <c r="D58" s="18"/>
      <c r="E58" s="18"/>
      <c r="F58" s="18"/>
      <c r="G58" s="18"/>
      <c r="H58" s="19"/>
      <c r="I58" s="19"/>
      <c r="J58" s="5"/>
      <c r="K58" s="20"/>
      <c r="L58" s="20"/>
      <c r="M58" s="20"/>
      <c r="N58" s="20"/>
      <c r="O58" s="20"/>
      <c r="P58" s="20"/>
    </row>
    <row r="59" spans="1:16" x14ac:dyDescent="0.25">
      <c r="A59" s="2"/>
      <c r="B59" s="2"/>
      <c r="C59" s="2"/>
      <c r="D59" s="2"/>
      <c r="E59" s="2"/>
      <c r="F59" s="2"/>
      <c r="G59" s="2"/>
      <c r="H59" s="14"/>
      <c r="I59" s="14"/>
      <c r="J59" s="5"/>
      <c r="K59" s="16"/>
      <c r="L59" s="16"/>
      <c r="M59" s="16"/>
      <c r="N59" s="16"/>
      <c r="O59" s="16"/>
      <c r="P59" s="16"/>
    </row>
    <row r="60" spans="1:16" x14ac:dyDescent="0.25">
      <c r="A60" s="2"/>
      <c r="B60" s="2"/>
      <c r="C60" s="2"/>
      <c r="D60" s="2"/>
      <c r="E60" s="2"/>
      <c r="F60" s="2"/>
      <c r="G60" s="2"/>
      <c r="H60" s="14"/>
      <c r="I60" s="14"/>
      <c r="J60" s="5"/>
      <c r="K60" s="16"/>
      <c r="L60" s="16"/>
      <c r="M60" s="16"/>
      <c r="N60" s="16"/>
      <c r="O60" s="16"/>
      <c r="P60" s="16"/>
    </row>
    <row r="61" spans="1:16" x14ac:dyDescent="0.25">
      <c r="A61" s="2"/>
      <c r="B61" s="2"/>
      <c r="C61" s="2"/>
      <c r="D61" s="2"/>
      <c r="E61" s="2"/>
      <c r="F61" s="2"/>
      <c r="G61" s="2"/>
      <c r="H61" s="14"/>
      <c r="I61" s="14"/>
      <c r="J61" s="5"/>
      <c r="K61" s="16"/>
      <c r="L61" s="16"/>
      <c r="M61" s="16"/>
      <c r="N61" s="16"/>
      <c r="O61" s="16"/>
      <c r="P61" s="16"/>
    </row>
    <row r="62" spans="1:16" x14ac:dyDescent="0.25">
      <c r="A62" s="2"/>
      <c r="B62" s="2"/>
      <c r="C62" s="2"/>
      <c r="D62" s="2"/>
      <c r="E62" s="2"/>
      <c r="F62" s="2"/>
      <c r="G62" s="2"/>
      <c r="H62" s="14"/>
      <c r="I62" s="14"/>
      <c r="J62" s="5"/>
      <c r="K62" s="16"/>
      <c r="L62" s="16"/>
      <c r="M62" s="16"/>
      <c r="N62" s="16"/>
      <c r="O62" s="16"/>
      <c r="P62" s="16"/>
    </row>
  </sheetData>
  <autoFilter ref="A1:P58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zoomScale="85" zoomScaleNormal="85" workbookViewId="0">
      <selection activeCell="F41" sqref="F41"/>
    </sheetView>
  </sheetViews>
  <sheetFormatPr defaultRowHeight="15" x14ac:dyDescent="0.25"/>
  <cols>
    <col min="1" max="1" width="9.140625" style="10"/>
    <col min="2" max="2" width="13.7109375" style="10" bestFit="1" customWidth="1"/>
    <col min="3" max="3" width="18.85546875" style="10" bestFit="1" customWidth="1"/>
    <col min="4" max="5" width="18.85546875" style="10" customWidth="1"/>
    <col min="6" max="6" width="15.42578125" style="10" bestFit="1" customWidth="1"/>
    <col min="7" max="7" width="10.5703125" style="10" bestFit="1" customWidth="1"/>
    <col min="8" max="8" width="21.85546875" style="10" bestFit="1" customWidth="1"/>
  </cols>
  <sheetData>
    <row r="1" spans="1:8" ht="30" x14ac:dyDescent="0.25">
      <c r="A1" s="8" t="s">
        <v>0</v>
      </c>
      <c r="B1" s="8" t="s">
        <v>149</v>
      </c>
      <c r="C1" s="9" t="s">
        <v>137</v>
      </c>
      <c r="D1" s="9" t="s">
        <v>154</v>
      </c>
      <c r="E1" s="9" t="s">
        <v>150</v>
      </c>
      <c r="F1" s="9" t="s">
        <v>156</v>
      </c>
      <c r="G1" s="9" t="s">
        <v>63</v>
      </c>
      <c r="H1" s="9" t="s">
        <v>64</v>
      </c>
    </row>
    <row r="2" spans="1:8" x14ac:dyDescent="0.25">
      <c r="A2" s="8">
        <v>1</v>
      </c>
      <c r="B2" s="8"/>
      <c r="C2" s="8" t="s">
        <v>69</v>
      </c>
      <c r="D2" s="8"/>
      <c r="E2" s="8"/>
      <c r="F2" s="8"/>
      <c r="G2" s="8" t="s">
        <v>140</v>
      </c>
      <c r="H2" s="12" t="s">
        <v>68</v>
      </c>
    </row>
    <row r="3" spans="1:8" x14ac:dyDescent="0.25">
      <c r="A3" s="8">
        <v>2</v>
      </c>
      <c r="B3" s="8"/>
      <c r="C3" s="8" t="s">
        <v>69</v>
      </c>
      <c r="D3" s="8"/>
      <c r="E3" s="8"/>
      <c r="F3" s="8"/>
      <c r="G3" s="8" t="s">
        <v>141</v>
      </c>
      <c r="H3" s="12" t="s">
        <v>73</v>
      </c>
    </row>
    <row r="4" spans="1:8" x14ac:dyDescent="0.25">
      <c r="A4" s="8">
        <v>3</v>
      </c>
      <c r="B4" s="8"/>
      <c r="C4" s="8" t="s">
        <v>69</v>
      </c>
      <c r="D4" s="8"/>
      <c r="E4" s="8"/>
      <c r="F4" s="8"/>
      <c r="G4" s="8" t="s">
        <v>138</v>
      </c>
      <c r="H4" s="12" t="s">
        <v>70</v>
      </c>
    </row>
    <row r="5" spans="1:8" x14ac:dyDescent="0.25">
      <c r="A5" s="8">
        <v>4</v>
      </c>
      <c r="B5" s="8"/>
      <c r="C5" s="12" t="s">
        <v>76</v>
      </c>
      <c r="D5" s="12"/>
      <c r="E5" s="12"/>
      <c r="F5" s="12"/>
      <c r="G5" s="8" t="s">
        <v>140</v>
      </c>
      <c r="H5" s="12" t="s">
        <v>7</v>
      </c>
    </row>
    <row r="6" spans="1:8" x14ac:dyDescent="0.25">
      <c r="A6" s="8">
        <v>5</v>
      </c>
      <c r="B6" s="8"/>
      <c r="C6" s="12" t="s">
        <v>76</v>
      </c>
      <c r="D6" s="12"/>
      <c r="E6" s="12"/>
      <c r="F6" s="12"/>
      <c r="G6" s="8" t="s">
        <v>141</v>
      </c>
      <c r="H6" s="12" t="s">
        <v>29</v>
      </c>
    </row>
    <row r="7" spans="1:8" x14ac:dyDescent="0.25">
      <c r="A7" s="8">
        <v>6</v>
      </c>
      <c r="B7" s="8"/>
      <c r="C7" s="11" t="s">
        <v>78</v>
      </c>
      <c r="D7" s="11"/>
      <c r="E7" s="11"/>
      <c r="F7" s="11"/>
      <c r="G7" s="11" t="s">
        <v>140</v>
      </c>
      <c r="H7" s="11" t="s">
        <v>84</v>
      </c>
    </row>
    <row r="8" spans="1:8" x14ac:dyDescent="0.25">
      <c r="A8" s="8">
        <v>7</v>
      </c>
      <c r="B8" s="8"/>
      <c r="C8" s="11" t="s">
        <v>78</v>
      </c>
      <c r="D8" s="11"/>
      <c r="E8" s="11"/>
      <c r="F8" s="11"/>
      <c r="G8" s="8" t="s">
        <v>141</v>
      </c>
      <c r="H8" s="11" t="s">
        <v>79</v>
      </c>
    </row>
    <row r="9" spans="1:8" x14ac:dyDescent="0.25">
      <c r="A9" s="8">
        <v>8</v>
      </c>
      <c r="B9" s="8"/>
      <c r="C9" s="11" t="s">
        <v>78</v>
      </c>
      <c r="D9" s="11"/>
      <c r="E9" s="11"/>
      <c r="F9" s="11"/>
      <c r="G9" s="8" t="s">
        <v>141</v>
      </c>
      <c r="H9" s="11" t="s">
        <v>82</v>
      </c>
    </row>
    <row r="10" spans="1:8" x14ac:dyDescent="0.25">
      <c r="A10" s="8">
        <v>8</v>
      </c>
      <c r="B10" s="8"/>
      <c r="C10" s="11" t="s">
        <v>87</v>
      </c>
      <c r="D10" s="11"/>
      <c r="E10" s="11"/>
      <c r="F10" s="11"/>
      <c r="G10" s="8" t="s">
        <v>141</v>
      </c>
      <c r="H10" s="12" t="s">
        <v>88</v>
      </c>
    </row>
    <row r="11" spans="1:8" x14ac:dyDescent="0.25">
      <c r="A11" s="8">
        <v>9</v>
      </c>
      <c r="B11" s="8"/>
      <c r="C11" s="11" t="s">
        <v>87</v>
      </c>
      <c r="D11" s="11"/>
      <c r="E11" s="11"/>
      <c r="F11" s="11"/>
      <c r="G11" s="8" t="s">
        <v>141</v>
      </c>
      <c r="H11" s="12" t="s">
        <v>91</v>
      </c>
    </row>
    <row r="12" spans="1:8" x14ac:dyDescent="0.25">
      <c r="A12" s="8">
        <v>10</v>
      </c>
      <c r="B12" s="8"/>
      <c r="C12" s="11" t="s">
        <v>87</v>
      </c>
      <c r="D12" s="11"/>
      <c r="E12" s="11"/>
      <c r="F12" s="11"/>
      <c r="G12" s="8" t="s">
        <v>140</v>
      </c>
      <c r="H12" s="12" t="s">
        <v>94</v>
      </c>
    </row>
    <row r="13" spans="1:8" x14ac:dyDescent="0.25">
      <c r="A13" s="8">
        <v>11</v>
      </c>
      <c r="B13" s="8"/>
      <c r="C13" s="13" t="s">
        <v>97</v>
      </c>
      <c r="D13" s="13"/>
      <c r="E13" s="13"/>
      <c r="F13" s="13"/>
      <c r="G13" s="8" t="s">
        <v>141</v>
      </c>
      <c r="H13" s="12" t="s">
        <v>98</v>
      </c>
    </row>
    <row r="14" spans="1:8" x14ac:dyDescent="0.25">
      <c r="A14" s="8">
        <v>12</v>
      </c>
      <c r="B14" s="8"/>
      <c r="C14" s="13" t="s">
        <v>97</v>
      </c>
      <c r="D14" s="13"/>
      <c r="E14" s="13"/>
      <c r="F14" s="13"/>
      <c r="G14" s="8" t="s">
        <v>141</v>
      </c>
      <c r="H14" s="12" t="s">
        <v>100</v>
      </c>
    </row>
    <row r="15" spans="1:8" x14ac:dyDescent="0.25">
      <c r="A15" s="8">
        <v>13</v>
      </c>
      <c r="B15" s="8"/>
      <c r="C15" s="13" t="s">
        <v>97</v>
      </c>
      <c r="D15" s="13"/>
      <c r="E15" s="13"/>
      <c r="F15" s="13"/>
      <c r="G15" s="8" t="s">
        <v>140</v>
      </c>
      <c r="H15" s="12" t="s">
        <v>25</v>
      </c>
    </row>
    <row r="16" spans="1:8" x14ac:dyDescent="0.25">
      <c r="A16" s="8">
        <v>14</v>
      </c>
      <c r="B16" s="8"/>
      <c r="C16" s="12" t="s">
        <v>102</v>
      </c>
      <c r="D16" s="12"/>
      <c r="E16" s="12"/>
      <c r="F16" s="12"/>
      <c r="G16" s="8" t="s">
        <v>140</v>
      </c>
      <c r="H16" s="12" t="s">
        <v>10</v>
      </c>
    </row>
    <row r="17" spans="1:8" x14ac:dyDescent="0.25">
      <c r="A17" s="8">
        <v>15</v>
      </c>
      <c r="B17" s="8"/>
      <c r="C17" s="12" t="s">
        <v>103</v>
      </c>
      <c r="D17" s="12"/>
      <c r="E17" s="12"/>
      <c r="F17" s="12"/>
      <c r="G17" s="8" t="s">
        <v>141</v>
      </c>
      <c r="H17" s="12" t="s">
        <v>104</v>
      </c>
    </row>
    <row r="18" spans="1:8" x14ac:dyDescent="0.25">
      <c r="A18" s="8">
        <v>16</v>
      </c>
      <c r="B18" s="8"/>
      <c r="C18" s="12" t="s">
        <v>103</v>
      </c>
      <c r="D18" s="12"/>
      <c r="E18" s="12"/>
      <c r="F18" s="12"/>
      <c r="G18" s="8" t="s">
        <v>140</v>
      </c>
      <c r="H18" s="12" t="s">
        <v>107</v>
      </c>
    </row>
    <row r="19" spans="1:8" x14ac:dyDescent="0.25">
      <c r="A19" s="8">
        <v>17</v>
      </c>
      <c r="B19" s="8"/>
      <c r="C19" s="12" t="s">
        <v>108</v>
      </c>
      <c r="D19" s="12"/>
      <c r="E19" s="12"/>
      <c r="F19" s="12"/>
      <c r="G19" s="8" t="s">
        <v>140</v>
      </c>
      <c r="H19" s="12" t="s">
        <v>8</v>
      </c>
    </row>
    <row r="20" spans="1:8" x14ac:dyDescent="0.25">
      <c r="A20" s="8">
        <v>18</v>
      </c>
      <c r="B20" s="8"/>
      <c r="C20" s="12" t="s">
        <v>108</v>
      </c>
      <c r="D20" s="12"/>
      <c r="E20" s="12"/>
      <c r="F20" s="12"/>
      <c r="G20" s="8" t="s">
        <v>140</v>
      </c>
      <c r="H20" s="12" t="s">
        <v>145</v>
      </c>
    </row>
    <row r="21" spans="1:8" x14ac:dyDescent="0.25">
      <c r="A21" s="8">
        <v>19</v>
      </c>
      <c r="B21" s="8"/>
      <c r="C21" s="12" t="s">
        <v>108</v>
      </c>
      <c r="D21" s="12"/>
      <c r="E21" s="12"/>
      <c r="F21" s="12"/>
      <c r="G21" s="8" t="s">
        <v>141</v>
      </c>
      <c r="H21" s="12" t="s">
        <v>38</v>
      </c>
    </row>
    <row r="22" spans="1:8" x14ac:dyDescent="0.25">
      <c r="A22" s="8">
        <v>20</v>
      </c>
      <c r="B22" s="8"/>
      <c r="C22" s="12" t="s">
        <v>108</v>
      </c>
      <c r="D22" s="12"/>
      <c r="E22" s="12"/>
      <c r="F22" s="12"/>
      <c r="G22" s="8" t="s">
        <v>141</v>
      </c>
      <c r="H22" s="12" t="s">
        <v>52</v>
      </c>
    </row>
    <row r="23" spans="1:8" x14ac:dyDescent="0.25">
      <c r="A23" s="8">
        <v>21</v>
      </c>
      <c r="B23" s="8"/>
      <c r="C23" s="12" t="s">
        <v>108</v>
      </c>
      <c r="D23" s="12"/>
      <c r="E23" s="12"/>
      <c r="F23" s="12"/>
      <c r="G23" s="8" t="s">
        <v>140</v>
      </c>
      <c r="H23" s="11" t="s">
        <v>24</v>
      </c>
    </row>
    <row r="24" spans="1:8" x14ac:dyDescent="0.25">
      <c r="A24" s="8">
        <v>22</v>
      </c>
      <c r="B24" s="8" t="s">
        <v>151</v>
      </c>
      <c r="C24" s="12" t="s">
        <v>152</v>
      </c>
      <c r="D24" s="12"/>
      <c r="E24" s="12">
        <v>34701</v>
      </c>
      <c r="F24" s="12"/>
      <c r="G24" s="8" t="s">
        <v>148</v>
      </c>
      <c r="H24" s="12" t="s">
        <v>46</v>
      </c>
    </row>
    <row r="25" spans="1:8" x14ac:dyDescent="0.25">
      <c r="A25" s="8">
        <v>23</v>
      </c>
      <c r="B25" s="8" t="s">
        <v>151</v>
      </c>
      <c r="C25" s="12" t="s">
        <v>152</v>
      </c>
      <c r="D25" s="12"/>
      <c r="E25" s="12">
        <v>34701</v>
      </c>
      <c r="F25" s="12"/>
      <c r="G25" s="8" t="s">
        <v>147</v>
      </c>
      <c r="H25" s="12" t="s">
        <v>21</v>
      </c>
    </row>
    <row r="26" spans="1:8" x14ac:dyDescent="0.25">
      <c r="A26" s="8">
        <v>24</v>
      </c>
      <c r="B26" s="8"/>
      <c r="C26" s="12" t="s">
        <v>110</v>
      </c>
      <c r="D26" s="12"/>
      <c r="E26" s="12"/>
      <c r="F26" s="12"/>
      <c r="G26" s="8" t="s">
        <v>141</v>
      </c>
      <c r="H26" s="12" t="s">
        <v>55</v>
      </c>
    </row>
    <row r="27" spans="1:8" x14ac:dyDescent="0.25">
      <c r="A27" s="8">
        <v>25</v>
      </c>
      <c r="B27" s="8"/>
      <c r="C27" s="12" t="s">
        <v>111</v>
      </c>
      <c r="D27" s="12"/>
      <c r="E27" s="12"/>
      <c r="F27" s="12"/>
      <c r="G27" s="8" t="s">
        <v>141</v>
      </c>
      <c r="H27" s="12" t="s">
        <v>112</v>
      </c>
    </row>
    <row r="28" spans="1:8" x14ac:dyDescent="0.25">
      <c r="A28" s="8">
        <v>26</v>
      </c>
      <c r="B28" s="8"/>
      <c r="C28" s="12" t="s">
        <v>115</v>
      </c>
      <c r="D28" s="12"/>
      <c r="E28" s="12"/>
      <c r="F28" s="12"/>
      <c r="G28" s="8" t="s">
        <v>141</v>
      </c>
      <c r="H28" s="12" t="s">
        <v>116</v>
      </c>
    </row>
    <row r="29" spans="1:8" x14ac:dyDescent="0.25">
      <c r="A29" s="8">
        <v>27</v>
      </c>
      <c r="B29" s="8"/>
      <c r="C29" s="11" t="s">
        <v>119</v>
      </c>
      <c r="D29" s="11"/>
      <c r="E29" s="11"/>
      <c r="F29" s="11"/>
      <c r="G29" s="8" t="s">
        <v>138</v>
      </c>
      <c r="H29" s="11" t="s">
        <v>120</v>
      </c>
    </row>
    <row r="30" spans="1:8" x14ac:dyDescent="0.25">
      <c r="A30" s="8">
        <v>28</v>
      </c>
      <c r="B30" s="8"/>
      <c r="C30" s="11" t="s">
        <v>119</v>
      </c>
      <c r="D30" s="11"/>
      <c r="E30" s="11"/>
      <c r="F30" s="11"/>
      <c r="G30" s="8" t="s">
        <v>140</v>
      </c>
      <c r="H30" s="11" t="s">
        <v>28</v>
      </c>
    </row>
    <row r="31" spans="1:8" x14ac:dyDescent="0.25">
      <c r="A31" s="8">
        <v>29</v>
      </c>
      <c r="B31" s="8"/>
      <c r="C31" s="12" t="s">
        <v>124</v>
      </c>
      <c r="D31" s="12"/>
      <c r="E31" s="12"/>
      <c r="F31" s="12"/>
      <c r="G31" s="8" t="s">
        <v>141</v>
      </c>
      <c r="H31" s="12" t="s">
        <v>41</v>
      </c>
    </row>
    <row r="32" spans="1:8" x14ac:dyDescent="0.25">
      <c r="A32" s="8">
        <v>30</v>
      </c>
      <c r="B32" s="8"/>
      <c r="C32" s="12" t="s">
        <v>125</v>
      </c>
      <c r="D32" s="12"/>
      <c r="E32" s="12"/>
      <c r="F32" s="12"/>
      <c r="G32" s="8" t="s">
        <v>140</v>
      </c>
      <c r="H32" s="12" t="s">
        <v>126</v>
      </c>
    </row>
    <row r="33" spans="1:8" x14ac:dyDescent="0.25">
      <c r="A33" s="8">
        <v>31</v>
      </c>
      <c r="B33" s="8"/>
      <c r="C33" s="12" t="s">
        <v>127</v>
      </c>
      <c r="D33" s="12"/>
      <c r="E33" s="12"/>
      <c r="F33" s="12"/>
      <c r="G33" s="8" t="s">
        <v>141</v>
      </c>
      <c r="H33" s="12" t="s">
        <v>128</v>
      </c>
    </row>
    <row r="34" spans="1:8" x14ac:dyDescent="0.25">
      <c r="A34" s="8">
        <v>32</v>
      </c>
      <c r="B34" s="8"/>
      <c r="C34" s="12" t="s">
        <v>130</v>
      </c>
      <c r="D34" s="12"/>
      <c r="E34" s="12"/>
      <c r="F34" s="12"/>
      <c r="G34" s="8" t="s">
        <v>141</v>
      </c>
      <c r="H34" s="12" t="s">
        <v>49</v>
      </c>
    </row>
    <row r="35" spans="1:8" x14ac:dyDescent="0.25">
      <c r="A35" s="8">
        <v>33</v>
      </c>
      <c r="B35" s="8"/>
      <c r="C35" s="12" t="s">
        <v>130</v>
      </c>
      <c r="D35" s="12"/>
      <c r="E35" s="12"/>
      <c r="F35" s="12"/>
      <c r="G35" s="8" t="s">
        <v>141</v>
      </c>
      <c r="H35" s="12" t="s">
        <v>142</v>
      </c>
    </row>
    <row r="36" spans="1:8" x14ac:dyDescent="0.25">
      <c r="A36" s="8">
        <v>34</v>
      </c>
      <c r="B36" s="8"/>
      <c r="C36" s="12" t="s">
        <v>130</v>
      </c>
      <c r="D36" s="12"/>
      <c r="E36" s="12"/>
      <c r="F36" s="12"/>
      <c r="G36" s="8" t="s">
        <v>141</v>
      </c>
      <c r="H36" s="12" t="s">
        <v>143</v>
      </c>
    </row>
    <row r="37" spans="1:8" x14ac:dyDescent="0.25">
      <c r="A37" s="8">
        <v>35</v>
      </c>
      <c r="B37" s="8"/>
      <c r="C37" s="12" t="s">
        <v>130</v>
      </c>
      <c r="D37" s="12"/>
      <c r="E37" s="12"/>
      <c r="F37" s="12"/>
      <c r="G37" s="8" t="s">
        <v>141</v>
      </c>
      <c r="H37" s="12" t="s">
        <v>144</v>
      </c>
    </row>
    <row r="38" spans="1:8" x14ac:dyDescent="0.25">
      <c r="A38" s="8">
        <v>36</v>
      </c>
      <c r="B38" s="8"/>
      <c r="C38" s="12" t="s">
        <v>130</v>
      </c>
      <c r="D38" s="12"/>
      <c r="E38" s="12"/>
      <c r="F38" s="12"/>
      <c r="G38" s="8" t="s">
        <v>141</v>
      </c>
      <c r="H38" s="12" t="s">
        <v>135</v>
      </c>
    </row>
    <row r="39" spans="1:8" x14ac:dyDescent="0.25">
      <c r="A39" s="8">
        <v>37</v>
      </c>
      <c r="B39" s="8" t="s">
        <v>153</v>
      </c>
      <c r="C39" s="8" t="s">
        <v>103</v>
      </c>
      <c r="D39" s="8" t="s">
        <v>155</v>
      </c>
      <c r="E39" s="8"/>
      <c r="F39" s="8" t="s">
        <v>157</v>
      </c>
      <c r="G39" s="8" t="s">
        <v>147</v>
      </c>
      <c r="H39" s="8" t="s">
        <v>107</v>
      </c>
    </row>
    <row r="40" spans="1:8" x14ac:dyDescent="0.25">
      <c r="A40" s="8">
        <v>38</v>
      </c>
      <c r="B40" s="8" t="s">
        <v>153</v>
      </c>
      <c r="C40" s="8" t="s">
        <v>103</v>
      </c>
      <c r="D40" s="8" t="s">
        <v>155</v>
      </c>
      <c r="E40" s="8"/>
      <c r="F40" s="8" t="s">
        <v>157</v>
      </c>
      <c r="G40" s="8" t="s">
        <v>148</v>
      </c>
      <c r="H40" s="8" t="s">
        <v>104</v>
      </c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x14ac:dyDescent="0.25">
      <c r="A43" s="8"/>
      <c r="B43" s="8"/>
      <c r="C43" s="8"/>
      <c r="D43" s="8"/>
      <c r="E43" s="8"/>
      <c r="F43" s="8"/>
      <c r="G43" s="8"/>
      <c r="H43" s="8"/>
    </row>
    <row r="44" spans="1:8" x14ac:dyDescent="0.25">
      <c r="A44" s="8"/>
      <c r="B44" s="8"/>
      <c r="C44" s="8"/>
      <c r="D44" s="8"/>
      <c r="E44" s="8"/>
      <c r="F44" s="8"/>
      <c r="G44" s="8"/>
      <c r="H44" s="8"/>
    </row>
    <row r="45" spans="1:8" x14ac:dyDescent="0.25">
      <c r="A45" s="8"/>
      <c r="B45" s="8"/>
      <c r="C45" s="8"/>
      <c r="D45" s="8"/>
      <c r="E45" s="8"/>
      <c r="F45" s="8"/>
      <c r="G45" s="8"/>
      <c r="H45" s="8"/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 Павел Яковлевич</dc:creator>
  <cp:lastModifiedBy>Шлёгин Лев Русланович</cp:lastModifiedBy>
  <dcterms:created xsi:type="dcterms:W3CDTF">2024-08-01T11:31:29Z</dcterms:created>
  <dcterms:modified xsi:type="dcterms:W3CDTF">2025-09-12T04:32:23Z</dcterms:modified>
</cp:coreProperties>
</file>